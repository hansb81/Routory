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연간 여행 소식(해외 축제)" sheetId="1" state="visible" r:id="rId3"/>
    <sheet name="안내" sheetId="2" state="visible" r:id="rId4"/>
  </sheets>
  <definedNames>
    <definedName function="false" hidden="true" localSheetId="0" name="_xlnm._FilterDatabase" vbProcedure="false">'연간 여행 소식(해외 축제)'!$A$1:$R$53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<sst xmlns="http://schemas.openxmlformats.org/spreadsheetml/2006/main" count="637" uniqueCount="372">
  <si>
    <t xml:space="preserve">월</t>
  </si>
  <si>
    <t xml:space="preserve">구분</t>
  </si>
  <si>
    <t xml:space="preserve">범위</t>
  </si>
  <si>
    <t xml:space="preserve">국가코드</t>
  </si>
  <si>
    <t xml:space="preserve">지역 표기</t>
  </si>
  <si>
    <t xml:space="preserve">항공사 코드</t>
  </si>
  <si>
    <t xml:space="preserve">제목</t>
  </si>
  <si>
    <r>
      <rPr>
        <b val="true"/>
        <sz val="10"/>
        <color rgb="FFFFFFFF"/>
        <rFont val="Noto Sans CJK SC"/>
        <family val="2"/>
      </rPr>
      <t xml:space="preserve">요약</t>
    </r>
    <r>
      <rPr>
        <b val="true"/>
        <sz val="10"/>
        <color rgb="FFFFFFFF"/>
        <rFont val="Arial"/>
        <family val="0"/>
        <charset val="1"/>
      </rPr>
      <t xml:space="preserve">(200</t>
    </r>
    <r>
      <rPr>
        <b val="true"/>
        <sz val="10"/>
        <color rgb="FFFFFFFF"/>
        <rFont val="Noto Sans CJK SC"/>
        <family val="2"/>
      </rPr>
      <t xml:space="preserve">자 내외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</si>
  <si>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행동 안내</t>
  </si>
  <si>
    <t xml:space="preserve">중요도</t>
  </si>
  <si>
    <r>
      <rPr>
        <b val="true"/>
        <sz val="10"/>
        <color rgb="FFFFFFFF"/>
        <rFont val="Noto Sans CJK SC"/>
        <family val="2"/>
      </rPr>
      <t xml:space="preserve">게시일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권장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</si>
  <si>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시작일</t>
  </si>
  <si>
    <t xml:space="preserve">종료일</t>
  </si>
  <si>
    <t xml:space="preserve">출처 이름</t>
  </si>
  <si>
    <r>
      <rPr>
        <b val="true"/>
        <sz val="10"/>
        <color rgb="FFFFFFFF"/>
        <rFont val="Noto Sans CJK SC"/>
        <family val="2"/>
      </rPr>
      <t xml:space="preserve">출처 </t>
    </r>
    <r>
      <rPr>
        <b val="true"/>
        <sz val="10"/>
        <color rgb="FFFFFFFF"/>
        <rFont val="Arial"/>
        <family val="0"/>
        <charset val="1"/>
      </rPr>
      <t xml:space="preserve">URL</t>
    </r>
  </si>
  <si>
    <t xml:space="preserve">날짜 확정도</t>
  </si>
  <si>
    <t xml:space="preserve">글자수</t>
  </si>
  <si>
    <t xml:space="preserve">확인 메모</t>
  </si>
  <si>
    <t xml:space="preserve">혜택</t>
  </si>
  <si>
    <t xml:space="preserve">해외</t>
  </si>
  <si>
    <t xml:space="preserve">JP</t>
  </si>
  <si>
    <t xml:space="preserve">일본 교토</t>
  </si>
  <si>
    <r>
      <rPr>
        <sz val="10"/>
        <rFont val="Noto Sans CJK SC"/>
        <family val="2"/>
      </rPr>
      <t xml:space="preserve">교토 지다이 마츠리 </t>
    </r>
    <r>
      <rPr>
        <sz val="10"/>
        <rFont val="Arial"/>
        <family val="0"/>
        <charset val="1"/>
      </rPr>
      <t xml:space="preserve">(10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</si>
  <si>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헤이안 시대부터 근세까지의 복식을 갖춘 행렬이 낮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시에 교토고쇼를 출발해 헤이안 신궁까지 이어지는 교토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대 마츠리 중 하나예요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비가 오면 다음 날로 순연되고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개최 여부는 당일 이른 아침에 정해져요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</si>
  <si>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유료 관람석이 있으니 공식 안내에서 예매 여부를 확인하고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당일 아침 개최 여부를 꼭 다시 확인하세요</t>
    </r>
    <r>
      <rPr>
        <sz val="10"/>
        <rFont val="Arial"/>
        <family val="0"/>
        <charset val="1"/>
      </rPr>
      <t xml:space="preserve">.</t>
    </r>
  </si>
  <si>
    <t xml:space="preserve">참고</t>
  </si>
  <si>
    <r>
      <rPr>
        <sz val="10"/>
        <rFont val="Noto Sans CJK SC"/>
        <family val="2"/>
      </rPr>
      <t xml:space="preserve">교토시관광협회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헤이안 신궁</t>
    </r>
  </si>
  <si>
    <t xml:space="preserve">https://kyoto.travel/</t>
  </si>
  <si>
    <t xml:space="preserve">확인</t>
  </si>
  <si>
    <r>
      <rPr>
        <sz val="10"/>
        <rFont val="Arial"/>
        <family val="0"/>
        <charset val="1"/>
      </rPr>
      <t xml:space="preserve">10/22 </t>
    </r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우천 시 </t>
    </r>
    <r>
      <rPr>
        <sz val="10"/>
        <rFont val="Arial"/>
        <family val="0"/>
        <charset val="1"/>
      </rPr>
      <t xml:space="preserve">10/23</t>
    </r>
  </si>
  <si>
    <t xml:space="preserve">MX</t>
  </si>
  <si>
    <t xml:space="preserve">멕시코 전역</t>
  </si>
  <si>
    <r>
      <rPr>
        <sz val="10"/>
        <rFont val="Noto Sans CJK SC"/>
        <family val="2"/>
      </rPr>
      <t xml:space="preserve">멕시코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죽은 자의 날</t>
    </r>
    <r>
      <rPr>
        <sz val="10"/>
        <rFont val="Arial"/>
        <family val="0"/>
        <charset val="1"/>
      </rPr>
      <t xml:space="preserve">' (11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</si>
  <si>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고인을 기리는 멕시코의 대표 전통 명절로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오프렌다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해골 분장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금잔화 장식이 도시를 채워요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멕시코시티와 오악사카 등 도시마다 퍼레이드와 행사가 열려요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</si>
  <si>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성수기라 숙소가 일찍 마감되니 예약을 서두르고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도시별 행사 일정은 공식 관광 사이트에서 확인하세요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</si>
  <si>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멕시코 관광청</t>
    </r>
    <r>
      <rPr>
        <sz val="10"/>
        <rFont val="Arial"/>
        <family val="0"/>
        <charset val="1"/>
      </rPr>
      <t xml:space="preserve">(Visit Mexico)</t>
    </r>
  </si>
  <si>
    <t xml:space="preserve">https://www.visitmexico.com/</t>
  </si>
  <si>
    <t xml:space="preserve">고정일</t>
  </si>
  <si>
    <t xml:space="preserve">GB</t>
  </si>
  <si>
    <t xml:space="preserve">영국</t>
  </si>
  <si>
    <r>
      <rPr>
        <sz val="10"/>
        <rFont val="Noto Sans CJK SC"/>
        <family val="2"/>
      </rPr>
      <t xml:space="preserve">영국 가이 포크스 나이트 </t>
    </r>
    <r>
      <rPr>
        <sz val="10"/>
        <rFont val="Arial"/>
        <family val="0"/>
        <charset val="1"/>
      </rPr>
      <t xml:space="preserve">(11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</si>
  <si>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 밤 영국 곳곳에서 모닥불과 불꽃놀이를 즐기는 전통 행사예요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지역에 따라 일정이 가까운 주말로 조정되는 경우가 많아 가려는 도시의 일정을 따로 확인하는 것이 좋아요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</si>
  <si>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런던 등 대도시는 행사 장소와 날짜가 다르니 공식 관광 사이트에서 도시별 일정을 확인하세요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</si>
  <si>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영국 관광청</t>
    </r>
    <r>
      <rPr>
        <sz val="10"/>
        <rFont val="Arial"/>
        <family val="0"/>
        <charset val="1"/>
      </rPr>
      <t xml:space="preserve">(VisitBritain)</t>
    </r>
  </si>
  <si>
    <t xml:space="preserve">https://www.visitbritain.com/</t>
  </si>
  <si>
    <t xml:space="preserve">IN</t>
  </si>
  <si>
    <t xml:space="preserve">인도</t>
  </si>
  <si>
    <r>
      <rPr>
        <sz val="10"/>
        <rFont val="Noto Sans CJK SC"/>
        <family val="2"/>
      </rPr>
      <t xml:space="preserve">인도 디왈리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빛의 축제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본 행사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</si>
  <si>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인도의 대표 힌두 명절인 디왈리의 올해 본 행사일은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일이고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전후 약 일주일 동안 등불과 불꽃놀이로 도시가 밝아져요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시기에는 현지 상점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교통 운영이 달라질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</si>
  <si>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디왈리 전후는 항공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숙소 요금이 오르고 일부 상점이 쉬니 일정을 여유 있게 잡으세요</t>
    </r>
    <r>
      <rPr>
        <sz val="10"/>
        <rFont val="Arial"/>
        <family val="0"/>
        <charset val="1"/>
      </rPr>
      <t xml:space="preserve">.</t>
    </r>
  </si>
  <si>
    <t xml:space="preserve">보통</t>
  </si>
  <si>
    <r>
      <rPr>
        <sz val="10"/>
        <rFont val="Noto Sans CJK SC"/>
        <family val="2"/>
      </rPr>
      <t xml:space="preserve">인도 관광부</t>
    </r>
    <r>
      <rPr>
        <sz val="10"/>
        <rFont val="Arial"/>
        <family val="0"/>
        <charset val="1"/>
      </rPr>
      <t xml:space="preserve">(Incredible India)</t>
    </r>
  </si>
  <si>
    <t xml:space="preserve">https://www.incredibleindia.gov.in/</t>
  </si>
  <si>
    <r>
      <rPr>
        <sz val="10"/>
        <rFont val="Noto Sans CJK SC"/>
        <family val="2"/>
      </rPr>
      <t xml:space="preserve">본 행사 </t>
    </r>
    <r>
      <rPr>
        <sz val="10"/>
        <rFont val="Arial"/>
        <family val="0"/>
        <charset val="1"/>
      </rPr>
      <t xml:space="preserve">11/8 </t>
    </r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전후 약 일주일은 대략</t>
    </r>
  </si>
  <si>
    <t xml:space="preserve">DE</t>
  </si>
  <si>
    <t xml:space="preserve">독일 각 도시</t>
  </si>
  <si>
    <r>
      <rPr>
        <sz val="10"/>
        <rFont val="Noto Sans CJK SC"/>
        <family val="2"/>
      </rPr>
      <t xml:space="preserve">독일 크리스마스 마켓 개장 </t>
    </r>
    <r>
      <rPr>
        <sz val="10"/>
        <rFont val="Arial"/>
        <family val="0"/>
        <charset val="1"/>
      </rPr>
      <t xml:space="preserve">(11</t>
    </r>
    <r>
      <rPr>
        <sz val="10"/>
        <rFont val="Noto Sans CJK SC"/>
        <family val="2"/>
      </rPr>
      <t xml:space="preserve">월 하순</t>
    </r>
    <r>
      <rPr>
        <sz val="10"/>
        <rFont val="Arial"/>
        <family val="0"/>
        <charset val="1"/>
      </rPr>
      <t xml:space="preserve">~12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</si>
  <si>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독일 각 도시의 크리스마스 마켓이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월 하순부터 문을 열어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말까지 이어져요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도시마다 개장일과 폐장일이 달라 가려는 도시의 공식 일정을 확인해야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</si>
  <si>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뉘른베르크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드레스덴 등 가려는 도시의 개장일을 확인하고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주말은 숙소를 서둘러 잡으세요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</si>
  <si>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독일 관광청</t>
    </r>
    <r>
      <rPr>
        <sz val="10"/>
        <rFont val="Arial"/>
        <family val="0"/>
        <charset val="1"/>
      </rPr>
      <t xml:space="preserve">(Germany Travel)</t>
    </r>
  </si>
  <si>
    <t xml:space="preserve">https://www.germany.travel/</t>
  </si>
  <si>
    <t xml:space="preserve">예상</t>
  </si>
  <si>
    <r>
      <rPr>
        <sz val="10"/>
        <rFont val="Noto Sans CJK SC"/>
        <family val="2"/>
      </rPr>
      <t xml:space="preserve">도시별 개장일 상이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대략값</t>
    </r>
  </si>
  <si>
    <t xml:space="preserve">TH</t>
  </si>
  <si>
    <r>
      <rPr>
        <sz val="10"/>
        <rFont val="Noto Sans CJK SC"/>
        <family val="2"/>
      </rPr>
      <t xml:space="preserve">태국 방콕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치앙마이</t>
    </r>
  </si>
  <si>
    <r>
      <rPr>
        <sz val="10"/>
        <rFont val="Noto Sans CJK SC"/>
        <family val="2"/>
      </rPr>
      <t xml:space="preserve">태국 로이끄라통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이펭 등불 축제 </t>
    </r>
    <r>
      <rPr>
        <sz val="10"/>
        <rFont val="Arial"/>
        <family val="0"/>
        <charset val="1"/>
      </rPr>
      <t xml:space="preserve">(11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24~25</t>
    </r>
    <r>
      <rPr>
        <sz val="10"/>
        <rFont val="Noto Sans CJK SC"/>
        <family val="2"/>
      </rPr>
      <t xml:space="preserve">일 전후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</si>
  <si>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보름달이 뜨는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월 하순에 강과 호수에 크라통을 띄우는 태국 대표 축제로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치앙마이에서는 하늘 등불을 날리는 이펭 축제가 함께 열려요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올해 날짜는 태국관광청의 공식 확정 공지 전이에요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</si>
  <si>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날짜와 행사 장소는 태국관광청 공지를 확인하고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치앙마이 숙소는 미리 예약하세요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</si>
  <si>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태국관광청</t>
    </r>
    <r>
      <rPr>
        <sz val="10"/>
        <rFont val="Arial"/>
        <family val="0"/>
        <charset val="1"/>
      </rPr>
      <t xml:space="preserve">(TAT)</t>
    </r>
  </si>
  <si>
    <t xml:space="preserve">https://www.tourismthailand.org/</t>
  </si>
  <si>
    <t xml:space="preserve">공식 확정 공지 후 수정</t>
  </si>
  <si>
    <t xml:space="preserve">US</t>
  </si>
  <si>
    <t xml:space="preserve">미국 뉴욕</t>
  </si>
  <si>
    <r>
      <rPr>
        <sz val="10"/>
        <rFont val="Noto Sans CJK SC"/>
        <family val="2"/>
      </rPr>
      <t xml:space="preserve">뉴욕 메이시스 추수감사절 퍼레이드 </t>
    </r>
    <r>
      <rPr>
        <sz val="10"/>
        <rFont val="Arial"/>
        <family val="0"/>
        <charset val="1"/>
      </rPr>
      <t xml:space="preserve">(11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</si>
  <si>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추수감사절인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일 아침 맨해튼에서 대형 풍선과 공연단이 행진하는 퍼레이드예요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일부 구간이 통제되고 인파가 많이 몰려요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</si>
  <si>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관람 구간과 통제 정보는 공식 안내에서 확인하고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일찍 이동해 자리를 잡으세요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</si>
  <si>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뉴욕시 관광청</t>
    </r>
    <r>
      <rPr>
        <sz val="10"/>
        <rFont val="Arial"/>
        <family val="0"/>
        <charset val="1"/>
      </rPr>
      <t xml:space="preserve">(NYC Tourism)</t>
    </r>
  </si>
  <si>
    <t xml:space="preserve">https://www.nycgo.com/</t>
  </si>
  <si>
    <t xml:space="preserve">규칙기준</t>
  </si>
  <si>
    <r>
      <rPr>
        <sz val="10"/>
        <rFont val="Noto Sans CJK SC"/>
        <family val="2"/>
      </rPr>
      <t xml:space="preserve">추수감사절</t>
    </r>
    <r>
      <rPr>
        <sz val="10"/>
        <rFont val="Arial"/>
        <family val="0"/>
        <charset val="1"/>
      </rPr>
      <t xml:space="preserve">=11</t>
    </r>
    <r>
      <rPr>
        <sz val="10"/>
        <rFont val="Noto Sans CJK SC"/>
        <family val="2"/>
      </rPr>
      <t xml:space="preserve">월 넷째 목요일</t>
    </r>
  </si>
  <si>
    <t xml:space="preserve">일본 고베</t>
  </si>
  <si>
    <r>
      <rPr>
        <sz val="10"/>
        <rFont val="Noto Sans CJK SC"/>
        <family val="2"/>
      </rPr>
      <t xml:space="preserve">고베 루미나리에 </t>
    </r>
    <r>
      <rPr>
        <sz val="10"/>
        <rFont val="Arial"/>
        <family val="0"/>
        <charset val="1"/>
      </rPr>
      <t xml:space="preserve">(12</t>
    </r>
    <r>
      <rPr>
        <sz val="10"/>
        <rFont val="Noto Sans CJK SC"/>
        <family val="2"/>
      </rPr>
      <t xml:space="preserve">월 초중순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</si>
  <si>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일본 고베에서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초중순에 열리는 대형 조명 전시로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수십만 개의 조명으로 거리를 장식해요</t>
    </r>
    <r>
      <rPr>
        <sz val="10"/>
        <rFont val="Arial"/>
        <family val="0"/>
        <charset val="1"/>
      </rPr>
      <t xml:space="preserve">. 1995</t>
    </r>
    <r>
      <rPr>
        <sz val="10"/>
        <rFont val="Noto Sans CJK SC"/>
        <family val="2"/>
      </rPr>
      <t xml:space="preserve">년 대지진 희생자를 추모하는 행사로 시작됐어요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</si>
  <si>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관람객이 몰리는 행사라 입장 방식과 시간대는 공식 안내를 확인하세요</t>
    </r>
    <r>
      <rPr>
        <sz val="10"/>
        <rFont val="Arial"/>
        <family val="0"/>
        <charset val="1"/>
      </rPr>
      <t xml:space="preserve">.</t>
    </r>
  </si>
  <si>
    <t xml:space="preserve">고베 루미나리에 공식 사이트</t>
  </si>
  <si>
    <t xml:space="preserve">https://www.kobe-luminarie.jp/</t>
  </si>
  <si>
    <t xml:space="preserve">올해 기간은 공식 발표 후 수정</t>
  </si>
  <si>
    <t xml:space="preserve">SE</t>
  </si>
  <si>
    <t xml:space="preserve">스웨덴</t>
  </si>
  <si>
    <r>
      <rPr>
        <sz val="10"/>
        <rFont val="Noto Sans CJK SC"/>
        <family val="2"/>
      </rPr>
      <t xml:space="preserve">스웨덴 루시아 축제 </t>
    </r>
    <r>
      <rPr>
        <sz val="10"/>
        <rFont val="Arial"/>
        <family val="0"/>
        <charset val="1"/>
      </rPr>
      <t xml:space="preserve">(12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</si>
  <si>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흰 옷에 촛불 왕관을 쓴 루시아 행렬이 열리는 스웨덴의 빛의 축제예요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교회와 학교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도시 곳곳에서 노래 행렬을 볼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</si>
  <si>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교회 행사는 입장 인원이 제한될 수 있으니 시간과 예약 여부를 미리 확인하세요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</si>
  <si>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스웨덴 관광청</t>
    </r>
    <r>
      <rPr>
        <sz val="10"/>
        <rFont val="Arial"/>
        <family val="0"/>
        <charset val="1"/>
      </rPr>
      <t xml:space="preserve">(Visit Sweden)</t>
    </r>
  </si>
  <si>
    <t xml:space="preserve">https://visitsweden.com/</t>
  </si>
  <si>
    <t xml:space="preserve">영국 에든버러</t>
  </si>
  <si>
    <r>
      <rPr>
        <sz val="10"/>
        <rFont val="Noto Sans CJK SC"/>
        <family val="2"/>
      </rPr>
      <t xml:space="preserve">에든버러 호그머니 </t>
    </r>
    <r>
      <rPr>
        <sz val="10"/>
        <rFont val="Arial"/>
        <family val="0"/>
        <charset val="1"/>
      </rPr>
      <t xml:space="preserve">(12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~1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</si>
  <si>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스코틀랜드 에든버러에서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일부터 새해 첫날까지 이어지는 대규모 새해맞이 행사예요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거리 파티와 불꽃놀이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횃불 행렬이 열리고 일부 행사는 티켓이 필요해요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</si>
  <si>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새해 전야 행사 티켓은 일찍 매진되니 공식 사이트의 판매 일정을 확인하세요</t>
    </r>
    <r>
      <rPr>
        <sz val="10"/>
        <rFont val="Arial"/>
        <family val="0"/>
        <charset val="1"/>
      </rPr>
      <t xml:space="preserve">.</t>
    </r>
  </si>
  <si>
    <t xml:space="preserve">에든버러 호그머니 공식 사이트</t>
  </si>
  <si>
    <t xml:space="preserve">https://www.edinburghshogmanay.com/</t>
  </si>
  <si>
    <t xml:space="preserve">AU</t>
  </si>
  <si>
    <t xml:space="preserve">호주 시드니</t>
  </si>
  <si>
    <r>
      <rPr>
        <sz val="10"/>
        <rFont val="Noto Sans CJK SC"/>
        <family val="2"/>
      </rPr>
      <t xml:space="preserve">시드니 새해 전야 불꽃놀이 </t>
    </r>
    <r>
      <rPr>
        <sz val="10"/>
        <rFont val="Arial"/>
        <family val="0"/>
        <charset val="1"/>
      </rPr>
      <t xml:space="preserve">(12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</si>
  <si>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시드니 하버브리지와 오페라하우스 일대에서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일 밤 열리는 세계적인 새해 불꽃놀이예요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관람 명당 일부는 유료이고 일찍부터 자리가 차요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</si>
  <si>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명당은 오전부터 자리가 차니 관람 장소와 입장 방식을 공식 안내에서 확인하세요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</si>
  <si>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시드니 관광청</t>
    </r>
    <r>
      <rPr>
        <sz val="10"/>
        <rFont val="Arial"/>
        <family val="0"/>
        <charset val="1"/>
      </rPr>
      <t xml:space="preserve">(Sydney.com)</t>
    </r>
  </si>
  <si>
    <t xml:space="preserve">https://www.sydney.com/</t>
  </si>
  <si>
    <t xml:space="preserve">CN</t>
  </si>
  <si>
    <t xml:space="preserve">중국 하얼빈</t>
  </si>
  <si>
    <r>
      <rPr>
        <sz val="10"/>
        <rFont val="Noto Sans CJK SC"/>
        <family val="2"/>
      </rPr>
      <t xml:space="preserve">하얼빈 국제 빙설제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월 초</t>
    </r>
    <r>
      <rPr>
        <sz val="10"/>
        <rFont val="Arial"/>
        <family val="0"/>
        <charset val="1"/>
      </rPr>
      <t xml:space="preserve">~2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</si>
  <si>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중국 하얼빈에서 겨울마다 열리는 대규모 얼음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눈 조각 축제로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밤에는 조명을 밝힌 거대한 얼음 건축물이 장관을 이뤄요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영하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도 안팎까지 내려갈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</si>
  <si>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방한 장비를 단단히 챙기고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야간 관람 시간과 입장권은 공식 안내에서 확인하세요</t>
    </r>
    <r>
      <rPr>
        <sz val="10"/>
        <rFont val="Arial"/>
        <family val="0"/>
        <charset val="1"/>
      </rPr>
      <t xml:space="preserve">.</t>
    </r>
  </si>
  <si>
    <t xml:space="preserve">중국 문화관광부</t>
  </si>
  <si>
    <t xml:space="preserve">https://www.mct.gov.cn/</t>
  </si>
  <si>
    <t xml:space="preserve">올해 개장 기간은 공식 발표 후 수정</t>
  </si>
  <si>
    <r>
      <rPr>
        <sz val="10"/>
        <rFont val="Noto Sans CJK SC"/>
        <family val="2"/>
      </rPr>
      <t xml:space="preserve">시드니 페스티벌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</si>
  <si>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호주 시드니에서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월에 한 달 가까이 이어지는 공연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음악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전시 축제예요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 시즌의 도시 곳곳에서 야외 무대와 무료 행사도 열려요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</si>
  <si>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인기 공연은 일찍 매진되니 프로그램 공개 후 예매 일정을 확인하세요</t>
    </r>
    <r>
      <rPr>
        <sz val="10"/>
        <rFont val="Arial"/>
        <family val="0"/>
        <charset val="1"/>
      </rPr>
      <t xml:space="preserve">.</t>
    </r>
  </si>
  <si>
    <t xml:space="preserve">시드니 페스티벌 공식 사이트</t>
  </si>
  <si>
    <t xml:space="preserve">https://www.sydneyfestival.org.au/</t>
  </si>
  <si>
    <t xml:space="preserve">기간은 공식 발표 후 수정</t>
  </si>
  <si>
    <t xml:space="preserve">IT</t>
  </si>
  <si>
    <t xml:space="preserve">이탈리아 베네치아</t>
  </si>
  <si>
    <r>
      <rPr>
        <sz val="10"/>
        <rFont val="Noto Sans CJK SC"/>
        <family val="2"/>
      </rPr>
      <t xml:space="preserve">베네치아 카니발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월 말</t>
    </r>
    <r>
      <rPr>
        <sz val="10"/>
        <rFont val="Arial"/>
        <family val="0"/>
        <charset val="1"/>
      </rPr>
      <t xml:space="preserve">~2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</si>
  <si>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가면과 의상으로 유명한 베네치아 카니발이 사순절 전까지 열리고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광장과 골목에서 가면 행렬과 공연이 이어져요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</si>
  <si>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주말에는 매우 붐비니 평일 방문을 고려하고 숙소를 일찍 예약하세요</t>
    </r>
    <r>
      <rPr>
        <sz val="10"/>
        <rFont val="Arial"/>
        <family val="0"/>
        <charset val="1"/>
      </rPr>
      <t xml:space="preserve">.</t>
    </r>
  </si>
  <si>
    <t xml:space="preserve">베네치아 카니발 공식 사이트</t>
  </si>
  <si>
    <t xml:space="preserve">https://www.carnevale.venezia.it/</t>
  </si>
  <si>
    <t xml:space="preserve">시작일은 공식 발표 후 수정</t>
  </si>
  <si>
    <t xml:space="preserve">CA</t>
  </si>
  <si>
    <t xml:space="preserve">캐나다 퀘벡시티</t>
  </si>
  <si>
    <r>
      <rPr>
        <sz val="10"/>
        <rFont val="Noto Sans CJK SC"/>
        <family val="2"/>
      </rPr>
      <t xml:space="preserve">퀘벡 윈터 카니발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월 말</t>
    </r>
    <r>
      <rPr>
        <sz val="10"/>
        <rFont val="Arial"/>
        <family val="0"/>
        <charset val="1"/>
      </rPr>
      <t xml:space="preserve">~2</t>
    </r>
    <r>
      <rPr>
        <sz val="10"/>
        <rFont val="Noto Sans CJK SC"/>
        <family val="2"/>
      </rPr>
      <t xml:space="preserve">월 중순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</si>
  <si>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캐나다 퀘벡시티에서 겨울에 열리는 세계적인 겨울 축제로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눈 조각과 퍼레이드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얼음 카누 경주 같은 행사가 이어져요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</si>
  <si>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한겨울 추위에 대비해 방한 준비를 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숙소는 일찍 예약하세요</t>
    </r>
    <r>
      <rPr>
        <sz val="10"/>
        <rFont val="Arial"/>
        <family val="0"/>
        <charset val="1"/>
      </rPr>
      <t xml:space="preserve">.</t>
    </r>
  </si>
  <si>
    <t xml:space="preserve">퀘벡 윈터 카니발 공식 사이트</t>
  </si>
  <si>
    <t xml:space="preserve">https://carnaval.qc.ca/</t>
  </si>
  <si>
    <t xml:space="preserve">일본 삿포로</t>
  </si>
  <si>
    <r>
      <rPr>
        <sz val="10"/>
        <rFont val="Noto Sans CJK SC"/>
        <family val="2"/>
      </rPr>
      <t xml:space="preserve">삿포로 눈축제 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월 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</si>
  <si>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일본 홋카이도 삿포로의 오도리 공원 등에 대형 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얼음 조각이 들어서는 겨울 대표 축제예요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야간 조명 행사도 함께 열려요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</si>
  <si>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축제 기간 삿포로 숙소가 크게 오르니 항공권과 숙소를 먼저 확보하세요</t>
    </r>
    <r>
      <rPr>
        <sz val="10"/>
        <rFont val="Arial"/>
        <family val="0"/>
        <charset val="1"/>
      </rPr>
      <t xml:space="preserve">.</t>
    </r>
  </si>
  <si>
    <t xml:space="preserve">삿포로 눈축제 공식 사이트</t>
  </si>
  <si>
    <t xml:space="preserve">https://www.snowfes.com/</t>
  </si>
  <si>
    <t xml:space="preserve">BR</t>
  </si>
  <si>
    <t xml:space="preserve">브라질 리우데자네이루</t>
  </si>
  <si>
    <r>
      <rPr>
        <sz val="10"/>
        <rFont val="Noto Sans CJK SC"/>
        <family val="2"/>
      </rPr>
      <t xml:space="preserve">리우 카니발 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5~9</t>
    </r>
    <r>
      <rPr>
        <sz val="10"/>
        <rFont val="Noto Sans CJK SC"/>
        <family val="2"/>
      </rPr>
      <t xml:space="preserve">일 전후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</si>
  <si>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리우데자네이루에서 사순절 직전에 열리는 세계 최대 규모의 카니발이에요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삼바 퍼레이드와 거리 파티가 며칠간 이어지고 숙소 요금이 크게 올라요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</si>
  <si>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삼바 퍼레이드 입장권과 숙소는 수개월 전부터 마감되니 일찍 준비하세요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</si>
  <si>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리우 관광청</t>
    </r>
    <r>
      <rPr>
        <sz val="10"/>
        <rFont val="Arial"/>
        <family val="0"/>
        <charset val="1"/>
      </rPr>
      <t xml:space="preserve">(Visit.Rio)</t>
    </r>
  </si>
  <si>
    <t xml:space="preserve">https://visit.rio/</t>
  </si>
  <si>
    <r>
      <rPr>
        <sz val="10"/>
        <rFont val="Noto Sans CJK SC"/>
        <family val="2"/>
      </rPr>
      <t xml:space="preserve">사순절 시작일 기준 계산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공식 확인 필요</t>
    </r>
  </si>
  <si>
    <t xml:space="preserve">HK</t>
  </si>
  <si>
    <t xml:space="preserve">홍콩</t>
  </si>
  <si>
    <r>
      <rPr>
        <sz val="10"/>
        <rFont val="Noto Sans CJK SC"/>
        <family val="2"/>
      </rPr>
      <t xml:space="preserve">춘절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</t>
    </r>
    <r>
      <rPr>
        <sz val="10"/>
        <rFont val="Arial"/>
        <family val="0"/>
        <charset val="1"/>
      </rPr>
      <t xml:space="preserve">) 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홍콩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중화권</t>
    </r>
  </si>
  <si>
    <r>
      <rPr>
        <sz val="10"/>
        <rFont val="Noto Sans CJK SC"/>
        <family val="2"/>
      </rPr>
      <t xml:space="preserve">음력 설인 춘절에 중화권 도시가 붉은 장식과 퍼레이드로 들썩이는 시기예요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홍콩에서는 설날 밤 대형 퍼레이드가 열리고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일부 상점과 식당은 연휴 동안 문을 닫아요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</si>
  <si>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연휴 동안 문을 닫는 곳이 많으니 식당과 교통 운영을 미리 확인하세요</t>
    </r>
    <r>
      <rPr>
        <sz val="10"/>
        <rFont val="Arial"/>
        <family val="0"/>
        <charset val="1"/>
      </rPr>
      <t xml:space="preserve">.</t>
    </r>
  </si>
  <si>
    <t xml:space="preserve">홍콩관광청</t>
  </si>
  <si>
    <t xml:space="preserve">https://www.discoverhongkong.com/</t>
  </si>
  <si>
    <r>
      <rPr>
        <sz val="10"/>
        <rFont val="Noto Sans CJK SC"/>
        <family val="2"/>
      </rPr>
      <t xml:space="preserve">춘절 </t>
    </r>
    <r>
      <rPr>
        <sz val="10"/>
        <rFont val="Arial"/>
        <family val="0"/>
        <charset val="1"/>
      </rPr>
      <t xml:space="preserve">2/6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연휴 기간은 지역별 상이</t>
    </r>
  </si>
  <si>
    <t xml:space="preserve">미국 뉴올리언스</t>
  </si>
  <si>
    <r>
      <rPr>
        <sz val="10"/>
        <rFont val="Noto Sans CJK SC"/>
        <family val="2"/>
      </rPr>
      <t xml:space="preserve">뉴올리언스 마디그라 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일 절정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</si>
  <si>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사순절 직전 절정을 맞는 뉴올리언스의 마디그라 시즌이에요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화려한 퍼레이드와 거리 음악으로 도시 전체가 축제 분위기가 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마디그라 당일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화요일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절정이에요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</si>
  <si>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퍼레이드 구간 통제와 숙소 요금 상승에 대비해 일정을 일찍 잡으세요</t>
    </r>
    <r>
      <rPr>
        <sz val="10"/>
        <rFont val="Arial"/>
        <family val="0"/>
        <charset val="1"/>
      </rPr>
      <t xml:space="preserve">.</t>
    </r>
  </si>
  <si>
    <t xml:space="preserve">뉴올리언스 관광청</t>
  </si>
  <si>
    <t xml:space="preserve">https://www.neworleans.com/</t>
  </si>
  <si>
    <t xml:space="preserve">사순절 시작일 기준 계산</t>
  </si>
  <si>
    <t xml:space="preserve">TW</t>
  </si>
  <si>
    <t xml:space="preserve">대만</t>
  </si>
  <si>
    <r>
      <rPr>
        <sz val="10"/>
        <rFont val="Noto Sans CJK SC"/>
        <family val="2"/>
      </rPr>
      <t xml:space="preserve">대만 정월대보름 등불 축제 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일 전후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</si>
  <si>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정월대보름 무렵 대만 각지에서 등불 축제가 열리고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핑시에서는 소원을 적은 천등을 하늘로 날리는 체험이 인기예요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</si>
  <si>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행사 장소는 해마다 바뀌니 대만관광청 공지를 확인하세요</t>
    </r>
    <r>
      <rPr>
        <sz val="10"/>
        <rFont val="Arial"/>
        <family val="0"/>
        <charset val="1"/>
      </rPr>
      <t xml:space="preserve">.</t>
    </r>
  </si>
  <si>
    <t xml:space="preserve">대만 관광청</t>
  </si>
  <si>
    <t xml:space="preserve">https://eng.taiwan.net.tw/</t>
  </si>
  <si>
    <t xml:space="preserve">행사 도시와 기간은 공식 발표 후 수정</t>
  </si>
  <si>
    <t xml:space="preserve">ES</t>
  </si>
  <si>
    <t xml:space="preserve">스페인 발렌시아</t>
  </si>
  <si>
    <r>
      <rPr>
        <sz val="10"/>
        <rFont val="Noto Sans CJK SC"/>
        <family val="2"/>
      </rPr>
      <t xml:space="preserve">발렌시아 라스 파야스 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15~19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</si>
  <si>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스페인 발렌시아에서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중순에 열리는 불꽃 축제로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거대한 조형물을 마지막 날 밤 불태우는 행사로 유명해요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낮에는 폭죽 소리가 이어져요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</si>
  <si>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폭죽 소리가 크니 숙소 위치를 신중히 고르고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도심은 통제되는 구간이 많아요</t>
    </r>
    <r>
      <rPr>
        <sz val="10"/>
        <rFont val="Arial"/>
        <family val="0"/>
        <charset val="1"/>
      </rPr>
      <t xml:space="preserve">.</t>
    </r>
  </si>
  <si>
    <t xml:space="preserve">발렌시아 관광청</t>
  </si>
  <si>
    <t xml:space="preserve">https://www.visitvalencia.com/</t>
  </si>
  <si>
    <t xml:space="preserve">IE</t>
  </si>
  <si>
    <t xml:space="preserve">아일랜드 더블린</t>
  </si>
  <si>
    <r>
      <rPr>
        <sz val="10"/>
        <rFont val="Noto Sans CJK SC"/>
        <family val="2"/>
      </rPr>
      <t xml:space="preserve">아일랜드 세인트 패트릭스 페스티벌 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일 전후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</si>
  <si>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일 전후로 더블린에서 퍼레이드와 거리 공연이 이어지는 아일랜드 대표 축제예요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도시 전체가 초록색으로 물들어요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</si>
  <si>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행사 기간 숙소가 오르고 퍼레이드 구간이 통제되니 일정을 확인하세요</t>
    </r>
    <r>
      <rPr>
        <sz val="10"/>
        <rFont val="Arial"/>
        <family val="0"/>
        <charset val="1"/>
      </rPr>
      <t xml:space="preserve">.</t>
    </r>
  </si>
  <si>
    <t xml:space="preserve">세인트 패트릭스 페스티벌 공식 사이트</t>
  </si>
  <si>
    <t xml:space="preserve">https://www.stpatricksfestival.ie/</t>
  </si>
  <si>
    <t xml:space="preserve">정확한 기간은 공식 발표 후 수정</t>
  </si>
  <si>
    <t xml:space="preserve">NL</t>
  </si>
  <si>
    <t xml:space="preserve">네덜란드 쾨켄호프</t>
  </si>
  <si>
    <r>
      <rPr>
        <sz val="10"/>
        <rFont val="Noto Sans CJK SC"/>
        <family val="2"/>
      </rPr>
      <t xml:space="preserve">쾨켄호프 튤립 정원 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월 중순</t>
    </r>
    <r>
      <rPr>
        <sz val="10"/>
        <rFont val="Arial"/>
        <family val="0"/>
        <charset val="1"/>
      </rPr>
      <t xml:space="preserve">~5</t>
    </r>
    <r>
      <rPr>
        <sz val="10"/>
        <rFont val="Noto Sans CJK SC"/>
        <family val="2"/>
      </rPr>
      <t xml:space="preserve">월 중순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</si>
  <si>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네덜란드 쾨켄호프 정원이 봄에 약 두 달간 문을 열어 수백만 송이 튤립을 볼 수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개장 기간과 개화 상황은 해마다 달라요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</si>
  <si>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입장권은 사전 예약이 일반적이니 개장일과 개화 상황을 확인하세요</t>
    </r>
    <r>
      <rPr>
        <sz val="10"/>
        <rFont val="Arial"/>
        <family val="0"/>
        <charset val="1"/>
      </rPr>
      <t xml:space="preserve">.</t>
    </r>
  </si>
  <si>
    <t xml:space="preserve">쾨켄호프 공식 사이트</t>
  </si>
  <si>
    <t xml:space="preserve">https://keukenhof.nl/</t>
  </si>
  <si>
    <r>
      <rPr>
        <sz val="10"/>
        <rFont val="Noto Sans CJK SC"/>
        <family val="2"/>
      </rPr>
      <t xml:space="preserve">미국 워싱턴 </t>
    </r>
    <r>
      <rPr>
        <sz val="10"/>
        <rFont val="Arial"/>
        <family val="0"/>
        <charset val="1"/>
      </rPr>
      <t xml:space="preserve">DC</t>
    </r>
  </si>
  <si>
    <r>
      <rPr>
        <sz val="10"/>
        <rFont val="Noto Sans CJK SC"/>
        <family val="2"/>
      </rPr>
      <t xml:space="preserve">워싱턴 </t>
    </r>
    <r>
      <rPr>
        <sz val="10"/>
        <rFont val="Arial"/>
        <family val="0"/>
        <charset val="1"/>
      </rPr>
      <t xml:space="preserve">DC </t>
    </r>
    <r>
      <rPr>
        <sz val="10"/>
        <rFont val="Noto Sans CJK SC"/>
        <family val="2"/>
      </rPr>
      <t xml:space="preserve">벚꽃 축제 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월 하순</t>
    </r>
    <r>
      <rPr>
        <sz val="10"/>
        <rFont val="Arial"/>
        <family val="0"/>
        <charset val="1"/>
      </rPr>
      <t xml:space="preserve">~4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</si>
  <si>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미국 워싱턴 </t>
    </r>
    <r>
      <rPr>
        <sz val="10"/>
        <rFont val="Arial"/>
        <family val="0"/>
        <charset val="1"/>
      </rPr>
      <t xml:space="preserve">DC </t>
    </r>
    <r>
      <rPr>
        <sz val="10"/>
        <rFont val="Noto Sans CJK SC"/>
        <family val="2"/>
      </rPr>
      <t xml:space="preserve">타이들 베이슨 주변 벚꽃 개화에 맞춰 열리는 축제예요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개화 시기는 해마다 달라 꽃 상태를 확인하고 일정을 잡는 게 좋아요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</si>
  <si>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개화 예측 정보를 확인하고 주말은 매우 붐비니 평일 방문을 고려하세요</t>
    </r>
    <r>
      <rPr>
        <sz val="10"/>
        <rFont val="Arial"/>
        <family val="0"/>
        <charset val="1"/>
      </rPr>
      <t xml:space="preserve">.</t>
    </r>
  </si>
  <si>
    <t xml:space="preserve">내셔널 체리 블러섬 페스티벌</t>
  </si>
  <si>
    <t xml:space="preserve">https://nationalcherryblossomfestival.org/</t>
  </si>
  <si>
    <t xml:space="preserve">일본 전국</t>
  </si>
  <si>
    <r>
      <rPr>
        <sz val="10"/>
        <rFont val="Noto Sans CJK SC"/>
        <family val="2"/>
      </rPr>
      <t xml:space="preserve">일본 벚꽃 개화 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월 하순</t>
    </r>
    <r>
      <rPr>
        <sz val="10"/>
        <rFont val="Arial"/>
        <family val="0"/>
        <charset val="1"/>
      </rPr>
      <t xml:space="preserve">~4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</si>
  <si>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일본 각지의 벚꽃 개화가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하순부터 시작돼 북쪽으로 올라가요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개화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만개 시기는 해마다 달라 예보를 확인하며 일정을 잡는 게 좋아요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</si>
  <si>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개화 예보를 확인하고 만개 시기에 맞춰 숙소와 항공권을 일찍 예약하세요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</si>
  <si>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일본정부관광국</t>
    </r>
    <r>
      <rPr>
        <sz val="10"/>
        <rFont val="Arial"/>
        <family val="0"/>
        <charset val="1"/>
      </rPr>
      <t xml:space="preserve">(JNTO)</t>
    </r>
  </si>
  <si>
    <t xml:space="preserve">https://www.japan.travel/</t>
  </si>
  <si>
    <t xml:space="preserve">개화 시기는 예보 기준으로 수정</t>
  </si>
  <si>
    <r>
      <rPr>
        <sz val="10"/>
        <rFont val="Noto Sans CJK SC"/>
        <family val="2"/>
      </rPr>
      <t xml:space="preserve">인도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네팔</t>
    </r>
  </si>
  <si>
    <r>
      <rPr>
        <sz val="10"/>
        <rFont val="Noto Sans CJK SC"/>
        <family val="2"/>
      </rPr>
      <t xml:space="preserve">인도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네팔 홀리 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일 전후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</si>
  <si>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봄맞이 색 가루 축제인 홀리는 서로 색 가루를 뿌리며 즐기는 날이에요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옷과 소지품이 물들 수 있으니 준비가 필요해요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</si>
  <si>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버려도 되는 옷과 방수 케이스를 준비하고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혼잡한 지역은 피하세요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</si>
  <si>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음력 기준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공식 확인 필요</t>
    </r>
  </si>
  <si>
    <t xml:space="preserve">미국 인디오</t>
  </si>
  <si>
    <r>
      <rPr>
        <sz val="10"/>
        <rFont val="Noto Sans CJK SC"/>
        <family val="2"/>
      </rPr>
      <t xml:space="preserve">코첼라 음악 페스티벌 </t>
    </r>
    <r>
      <rPr>
        <sz val="10"/>
        <rFont val="Arial"/>
        <family val="0"/>
        <charset val="1"/>
      </rPr>
      <t xml:space="preserve">(4</t>
    </r>
    <r>
      <rPr>
        <sz val="10"/>
        <rFont val="Noto Sans CJK SC"/>
        <family val="2"/>
      </rPr>
      <t xml:space="preserve">월 중순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</si>
  <si>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미국 캘리포니아 인디오에서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월 중순 두 번의 주말에 열리는 대형 음악 페스티벌이에요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티켓과 주변 숙소가 일찍 마감돼요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</si>
  <si>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티켓 판매 일정을 확인하고 숙소를 먼저 확보하세요</t>
    </r>
    <r>
      <rPr>
        <sz val="10"/>
        <rFont val="Arial"/>
        <family val="0"/>
        <charset val="1"/>
      </rPr>
      <t xml:space="preserve">.</t>
    </r>
  </si>
  <si>
    <t xml:space="preserve">코첼라 공식 사이트</t>
  </si>
  <si>
    <t xml:space="preserve">https://www.coachella.com/</t>
  </si>
  <si>
    <t xml:space="preserve">올해 일정은 공식 발표 후 수정</t>
  </si>
  <si>
    <r>
      <rPr>
        <sz val="10"/>
        <rFont val="Noto Sans CJK SC"/>
        <family val="2"/>
      </rPr>
      <t xml:space="preserve">태국 송끄란 </t>
    </r>
    <r>
      <rPr>
        <sz val="10"/>
        <rFont val="Arial"/>
        <family val="0"/>
        <charset val="1"/>
      </rPr>
      <t xml:space="preserve">(4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13~15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</si>
  <si>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태국의 새해 명절 송끄란은 거리에서 서로 물을 뿌리는 물 축제로 유명해요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방콕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치앙마이 등에서 크게 열리고 일부 상점은 쉬어요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카메라와 휴대폰은 방수 준비가 필요해요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</si>
  <si>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방수 케이스를 준비하고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연휴 동안 영업하지 않는 곳이 있는지 확인하세요</t>
    </r>
    <r>
      <rPr>
        <sz val="10"/>
        <rFont val="Arial"/>
        <family val="0"/>
        <charset val="1"/>
      </rPr>
      <t xml:space="preserve">.</t>
    </r>
  </si>
  <si>
    <t xml:space="preserve">스페인 세비야</t>
  </si>
  <si>
    <r>
      <rPr>
        <sz val="10"/>
        <rFont val="Noto Sans CJK SC"/>
        <family val="2"/>
      </rPr>
      <t xml:space="preserve">세비야 페리아 데 아브릴 </t>
    </r>
    <r>
      <rPr>
        <sz val="10"/>
        <rFont val="Arial"/>
        <family val="0"/>
        <charset val="1"/>
      </rPr>
      <t xml:space="preserve">(4</t>
    </r>
    <r>
      <rPr>
        <sz val="10"/>
        <rFont val="Noto Sans CJK SC"/>
        <family val="2"/>
      </rPr>
      <t xml:space="preserve">월 중순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</si>
  <si>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스페인 세비야의 봄 축제 페리아 데 아브릴은 전통 의상과 카세타 천막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플라멩코로 일주일 가까이 이어져요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개최 주간은 부활절 일정에 따라 해마다 달라요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</si>
  <si>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카세타는 대부분 초대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회원 중심이니 일반 방문자 입장 가능 구역을 확인하세요</t>
    </r>
    <r>
      <rPr>
        <sz val="10"/>
        <rFont val="Arial"/>
        <family val="0"/>
        <charset val="1"/>
      </rPr>
      <t xml:space="preserve">.</t>
    </r>
  </si>
  <si>
    <t xml:space="preserve">안달루시아 관광청</t>
  </si>
  <si>
    <t xml:space="preserve">https://www.andalucia.org/</t>
  </si>
  <si>
    <t xml:space="preserve">개최일은 공식 발표 후 수정</t>
  </si>
  <si>
    <t xml:space="preserve">네덜란드 암스테르담</t>
  </si>
  <si>
    <r>
      <rPr>
        <sz val="10"/>
        <rFont val="Noto Sans CJK SC"/>
        <family val="2"/>
      </rPr>
      <t xml:space="preserve">네덜란드 킹스데이 </t>
    </r>
    <r>
      <rPr>
        <sz val="10"/>
        <rFont val="Arial"/>
        <family val="0"/>
        <charset val="1"/>
      </rPr>
      <t xml:space="preserve">(4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</si>
  <si>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네덜란드 국왕 탄생일인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일에는 도시 곳곳이 주황색으로 물들고 거리 벼룩시장과 운하 파티가 열려요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암스테르담은 매우 붐벼요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</si>
  <si>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교통이 혼잡하고 숙소 요금이 오르니 일찍 예약하세요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</si>
  <si>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네덜란드 관광청</t>
    </r>
    <r>
      <rPr>
        <sz val="10"/>
        <rFont val="Arial"/>
        <family val="0"/>
        <charset val="1"/>
      </rPr>
      <t xml:space="preserve">(Holland.com)</t>
    </r>
  </si>
  <si>
    <t xml:space="preserve">https://www.holland.com/</t>
  </si>
  <si>
    <t xml:space="preserve">FR</t>
  </si>
  <si>
    <t xml:space="preserve">프랑스 칸</t>
  </si>
  <si>
    <r>
      <rPr>
        <sz val="10"/>
        <rFont val="Noto Sans CJK SC"/>
        <family val="2"/>
      </rPr>
      <t xml:space="preserve">칸 영화제 </t>
    </r>
    <r>
      <rPr>
        <sz val="10"/>
        <rFont val="Arial"/>
        <family val="0"/>
        <charset val="1"/>
      </rPr>
      <t xml:space="preserve">(5</t>
    </r>
    <r>
      <rPr>
        <sz val="10"/>
        <rFont val="Noto Sans CJK SC"/>
        <family val="2"/>
      </rPr>
      <t xml:space="preserve">월 중하순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</si>
  <si>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프랑스 칸에서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월에 열리는 세계적인 영화제예요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행사 기간에는 숙소 요금이 크게 오르고 주요 상영은 초청자 중심이에요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</si>
  <si>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숙소를 일찍 잡고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일반 관람 가능한 부대 행사는 공식 사이트에서 확인하세요</t>
    </r>
    <r>
      <rPr>
        <sz val="10"/>
        <rFont val="Arial"/>
        <family val="0"/>
        <charset val="1"/>
      </rPr>
      <t xml:space="preserve">.</t>
    </r>
  </si>
  <si>
    <t xml:space="preserve">칸 영화제 공식 사이트</t>
  </si>
  <si>
    <t xml:space="preserve">https://www.festival-cannes.com/</t>
  </si>
  <si>
    <t xml:space="preserve">일본 도쿄</t>
  </si>
  <si>
    <r>
      <rPr>
        <sz val="10"/>
        <rFont val="Noto Sans CJK SC"/>
        <family val="2"/>
      </rPr>
      <t xml:space="preserve">도쿄 산자 마츠리 </t>
    </r>
    <r>
      <rPr>
        <sz val="10"/>
        <rFont val="Arial"/>
        <family val="0"/>
        <charset val="1"/>
      </rPr>
      <t xml:space="preserve">(5</t>
    </r>
    <r>
      <rPr>
        <sz val="10"/>
        <rFont val="Noto Sans CJK SC"/>
        <family val="2"/>
      </rPr>
      <t xml:space="preserve">월 중순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</si>
  <si>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도쿄 아사쿠사에서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월 셋째 주말 전후로 열리는 도쿄 대표 마츠리예요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가마를 멘 행렬이 아사쿠사 신사 일대를 오가고 인파가 매우 많아요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</si>
  <si>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주말은 극심하게 붐비니 이른 시간에 방문하고 행사 일정을 확인하세요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</si>
  <si>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도쿄관광재단</t>
    </r>
    <r>
      <rPr>
        <sz val="10"/>
        <rFont val="Arial"/>
        <family val="0"/>
        <charset val="1"/>
      </rPr>
      <t xml:space="preserve">(GO TOKYO)</t>
    </r>
  </si>
  <si>
    <t xml:space="preserve">https://www.gotokyo.org/</t>
  </si>
  <si>
    <t xml:space="preserve">정확한 일정은 공식 발표 후 수정</t>
  </si>
  <si>
    <r>
      <rPr>
        <sz val="10"/>
        <rFont val="Noto Sans CJK SC"/>
        <family val="2"/>
      </rPr>
      <t xml:space="preserve">교토 아오이 마츠리 </t>
    </r>
    <r>
      <rPr>
        <sz val="10"/>
        <rFont val="Arial"/>
        <family val="0"/>
        <charset val="1"/>
      </rPr>
      <t xml:space="preserve">(5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</si>
  <si>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교토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대 마츠리 중 하나로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헤이안 시대 복식을 갖춘 행렬이 교토고쇼에서 시모가모 신사를 거쳐 가미가모 신사까지 이어져요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</si>
  <si>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우천 시 순연될 수 있으니 당일 개최 여부를 확인하세요</t>
    </r>
    <r>
      <rPr>
        <sz val="10"/>
        <rFont val="Arial"/>
        <family val="0"/>
        <charset val="1"/>
      </rPr>
      <t xml:space="preserve">.</t>
    </r>
  </si>
  <si>
    <t xml:space="preserve">교토시관광협회</t>
  </si>
  <si>
    <r>
      <rPr>
        <sz val="10"/>
        <rFont val="Arial"/>
        <family val="0"/>
        <charset val="1"/>
      </rPr>
      <t xml:space="preserve">5/15 </t>
    </r>
    <r>
      <rPr>
        <sz val="10"/>
        <rFont val="Noto Sans CJK SC"/>
        <family val="2"/>
      </rPr>
      <t xml:space="preserve">정례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우천 시 순연</t>
    </r>
  </si>
  <si>
    <t xml:space="preserve">영국 런던</t>
  </si>
  <si>
    <r>
      <rPr>
        <sz val="10"/>
        <rFont val="Noto Sans CJK SC"/>
        <family val="2"/>
      </rPr>
      <t xml:space="preserve">첼시 플라워쇼 </t>
    </r>
    <r>
      <rPr>
        <sz val="10"/>
        <rFont val="Arial"/>
        <family val="0"/>
        <charset val="1"/>
      </rPr>
      <t xml:space="preserve">(5</t>
    </r>
    <r>
      <rPr>
        <sz val="10"/>
        <rFont val="Noto Sans CJK SC"/>
        <family val="2"/>
      </rPr>
      <t xml:space="preserve">월 하순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</si>
  <si>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영국 런던 첼시에서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월 하순에 열리는 왕립원예협회의 대표 플라워쇼예요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정원 전시와 꽃 전시가 이어지고 입장권은 사전 구매가 일반적이에요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</si>
  <si>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입장권은 일찍 매진되니 판매 일정을 확인하고 사전 예약하세요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</si>
  <si>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영국 왕립원예협회</t>
    </r>
    <r>
      <rPr>
        <sz val="10"/>
        <rFont val="Arial"/>
        <family val="0"/>
        <charset val="1"/>
      </rPr>
      <t xml:space="preserve">(RHS)</t>
    </r>
  </si>
  <si>
    <t xml:space="preserve">https://www.rhs.org.uk/</t>
  </si>
  <si>
    <r>
      <rPr>
        <sz val="10"/>
        <rFont val="Noto Sans CJK SC"/>
        <family val="2"/>
      </rPr>
      <t xml:space="preserve">홍콩 단오 용선 경주 </t>
    </r>
    <r>
      <rPr>
        <sz val="10"/>
        <rFont val="Arial"/>
        <family val="0"/>
        <charset val="1"/>
      </rPr>
      <t xml:space="preserve">(6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일 전후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</si>
  <si>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단오에 홍콩 등지에서 용 모양 배 경주가 열려요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북소리에 맞춰 노를 젓는 경주를 해변과 항구에서 볼 수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이날은 공휴일이에요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</si>
  <si>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공휴일이라 일부 상점이 쉴 수 있으니 영업 여부를 확인하세요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</si>
  <si>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음력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 기준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공식 확인 필요</t>
    </r>
  </si>
  <si>
    <t xml:space="preserve">PT</t>
  </si>
  <si>
    <t xml:space="preserve">포르투갈 리스본</t>
  </si>
  <si>
    <r>
      <rPr>
        <sz val="10"/>
        <rFont val="Noto Sans CJK SC"/>
        <family val="2"/>
      </rPr>
      <t xml:space="preserve">리스본 성 안토니오 축제 </t>
    </r>
    <r>
      <rPr>
        <sz val="10"/>
        <rFont val="Arial"/>
        <family val="0"/>
        <charset val="1"/>
      </rPr>
      <t xml:space="preserve">(6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12~13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</si>
  <si>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포르투갈 리스본의 성 안토니오 축제는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12~13</t>
    </r>
    <r>
      <rPr>
        <sz val="10"/>
        <rFont val="Noto Sans CJK SC"/>
        <family val="2"/>
      </rPr>
      <t xml:space="preserve">일 밤 알파마 골목에서 정어리 구이와 거리 파티로 이어져요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</si>
  <si>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골목이 매우 붐비니 이동 시간을 넉넉히 잡고 숙소를 일찍 잡으세요</t>
    </r>
    <r>
      <rPr>
        <sz val="10"/>
        <rFont val="Arial"/>
        <family val="0"/>
        <charset val="1"/>
      </rPr>
      <t xml:space="preserve">.</t>
    </r>
  </si>
  <si>
    <t xml:space="preserve">리스본 관광청</t>
  </si>
  <si>
    <t xml:space="preserve">https://www.visitlisboa.com/</t>
  </si>
  <si>
    <t xml:space="preserve">포르투갈 포르투</t>
  </si>
  <si>
    <r>
      <rPr>
        <sz val="10"/>
        <rFont val="Noto Sans CJK SC"/>
        <family val="2"/>
      </rPr>
      <t xml:space="preserve">포르투 성 요한 축제 </t>
    </r>
    <r>
      <rPr>
        <sz val="10"/>
        <rFont val="Arial"/>
        <family val="0"/>
        <charset val="1"/>
      </rPr>
      <t xml:space="preserve">(6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23~24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</si>
  <si>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포르투의 성 요한 축제는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일 밤 거리에서 장난감 망치로 서로 머리를 두드리고 불꽃놀이를 즐겨요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</si>
  <si>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강변은 밤새 붐비니 숙소 위치와 귀가 동선을 미리 정해 두세요</t>
    </r>
    <r>
      <rPr>
        <sz val="10"/>
        <rFont val="Arial"/>
        <family val="0"/>
        <charset val="1"/>
      </rPr>
      <t xml:space="preserve">.</t>
    </r>
  </si>
  <si>
    <t xml:space="preserve">포르투 관광청</t>
  </si>
  <si>
    <t xml:space="preserve">https://www.visitporto.travel/</t>
  </si>
  <si>
    <t xml:space="preserve">캐나다 몬트리올</t>
  </si>
  <si>
    <r>
      <rPr>
        <sz val="10"/>
        <rFont val="Noto Sans CJK SC"/>
        <family val="2"/>
      </rPr>
      <t xml:space="preserve">몬트리올 재즈 페스티벌 </t>
    </r>
    <r>
      <rPr>
        <sz val="10"/>
        <rFont val="Arial"/>
        <family val="0"/>
        <charset val="1"/>
      </rPr>
      <t xml:space="preserve">(6</t>
    </r>
    <r>
      <rPr>
        <sz val="10"/>
        <rFont val="Noto Sans CJK SC"/>
        <family val="2"/>
      </rPr>
      <t xml:space="preserve">월 말</t>
    </r>
    <r>
      <rPr>
        <sz val="10"/>
        <rFont val="Arial"/>
        <family val="0"/>
        <charset val="1"/>
      </rPr>
      <t xml:space="preserve">~7</t>
    </r>
    <r>
      <rPr>
        <sz val="10"/>
        <rFont val="Noto Sans CJK SC"/>
        <family val="2"/>
      </rPr>
      <t xml:space="preserve">월 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</si>
  <si>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캐나다 몬트리올에서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말부터 약 열흘간 이어지는 대형 재즈 축제예요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도심 야외 무대에서 무료 공연이 많아요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</si>
  <si>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주요 유료 공연은 일찍 매진되니 프로그램 공개 후 예매하세요</t>
    </r>
    <r>
      <rPr>
        <sz val="10"/>
        <rFont val="Arial"/>
        <family val="0"/>
        <charset val="1"/>
      </rPr>
      <t xml:space="preserve">.</t>
    </r>
  </si>
  <si>
    <t xml:space="preserve">몬트리올 재즈 페스티벌</t>
  </si>
  <si>
    <t xml:space="preserve">https://www.montrealjazzfest.com/</t>
  </si>
  <si>
    <r>
      <rPr>
        <sz val="10"/>
        <rFont val="Noto Sans CJK SC"/>
        <family val="2"/>
      </rPr>
      <t xml:space="preserve">스웨덴 하지 축제 미드서머 </t>
    </r>
    <r>
      <rPr>
        <sz val="10"/>
        <rFont val="Arial"/>
        <family val="0"/>
        <charset val="1"/>
      </rPr>
      <t xml:space="preserve">(6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25~26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</si>
  <si>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스웨덴의 하지 축제 미드서머는 꽃으로 장식한 기둥 주위에서 춤추고 가족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친구들이 모여 식사를 즐겨요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시기 상점과 대중교통 운영이 줄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</si>
  <si>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연휴로 문을 닫는 상점이 많으니 영업과 교통 운영을 미리 확인하세요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</si>
  <si>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19~25</t>
    </r>
    <r>
      <rPr>
        <sz val="10"/>
        <rFont val="Noto Sans CJK SC"/>
        <family val="2"/>
      </rPr>
      <t xml:space="preserve">일 사이 금요일 규칙으로 계산</t>
    </r>
  </si>
  <si>
    <r>
      <rPr>
        <sz val="10"/>
        <rFont val="Noto Sans CJK SC"/>
        <family val="2"/>
      </rPr>
      <t xml:space="preserve">교토 기온 마츠리 </t>
    </r>
    <r>
      <rPr>
        <sz val="10"/>
        <rFont val="Arial"/>
        <family val="0"/>
        <charset val="1"/>
      </rPr>
      <t xml:space="preserve">(7</t>
    </r>
    <r>
      <rPr>
        <sz val="10"/>
        <rFont val="Noto Sans CJK SC"/>
        <family val="2"/>
      </rPr>
      <t xml:space="preserve">월 한 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</si>
  <si>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교토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대 마츠리 중 하나로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 한 달 동안 이어져요</t>
    </r>
    <r>
      <rPr>
        <sz val="10"/>
        <rFont val="Arial"/>
        <family val="0"/>
        <charset val="1"/>
      </rPr>
      <t xml:space="preserve">. 17</t>
    </r>
    <r>
      <rPr>
        <sz val="10"/>
        <rFont val="Noto Sans CJK SC"/>
        <family val="2"/>
      </rPr>
      <t xml:space="preserve">일과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일 대형 가마 행렬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야마보코 순행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절정이에요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</si>
  <si>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절정일 행렬 관람은 매우 붐비니 이른 시간부터 자리를 잡고 유료석 여부를 확인하세요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</si>
  <si>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절정 </t>
    </r>
    <r>
      <rPr>
        <sz val="10"/>
        <rFont val="Arial"/>
        <family val="0"/>
        <charset val="1"/>
      </rPr>
      <t xml:space="preserve">7/17, 7/24</t>
    </r>
  </si>
  <si>
    <t xml:space="preserve">CH</t>
  </si>
  <si>
    <t xml:space="preserve">스위스 몽트뢰</t>
  </si>
  <si>
    <r>
      <rPr>
        <sz val="10"/>
        <rFont val="Noto Sans CJK SC"/>
        <family val="2"/>
      </rPr>
      <t xml:space="preserve">몽트뢰 재즈 페스티벌 </t>
    </r>
    <r>
      <rPr>
        <sz val="10"/>
        <rFont val="Arial"/>
        <family val="0"/>
        <charset val="1"/>
      </rPr>
      <t xml:space="preserve">(7</t>
    </r>
    <r>
      <rPr>
        <sz val="10"/>
        <rFont val="Noto Sans CJK SC"/>
        <family val="2"/>
      </rPr>
      <t xml:space="preserve">월 초중순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</si>
  <si>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스위스 레만 호숫가 몽트뢰에서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 초중순에 열리는 재즈 페스티벌이에요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호수 주변 무료 공연도 열려요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</si>
  <si>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유료 공연 티켓은 일찍 매진되니 프로그램 공개 후 예매하세요</t>
    </r>
    <r>
      <rPr>
        <sz val="10"/>
        <rFont val="Arial"/>
        <family val="0"/>
        <charset val="1"/>
      </rPr>
      <t xml:space="preserve">.</t>
    </r>
  </si>
  <si>
    <t xml:space="preserve">몽트뢰 재즈 페스티벌 공식 사이트</t>
  </si>
  <si>
    <t xml:space="preserve">https://www.montreuxjazzfestival.com/</t>
  </si>
  <si>
    <t xml:space="preserve">스페인 팜플로나</t>
  </si>
  <si>
    <r>
      <rPr>
        <sz val="10"/>
        <rFont val="Noto Sans CJK SC"/>
        <family val="2"/>
      </rPr>
      <t xml:space="preserve">팜플로나 산 페르민 축제 </t>
    </r>
    <r>
      <rPr>
        <sz val="10"/>
        <rFont val="Arial"/>
        <family val="0"/>
        <charset val="1"/>
      </rPr>
      <t xml:space="preserve">(7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6~14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</si>
  <si>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스페인 팜플로나에서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6~14</t>
    </r>
    <r>
      <rPr>
        <sz val="10"/>
        <rFont val="Noto Sans CJK SC"/>
        <family val="2"/>
      </rPr>
      <t xml:space="preserve">일에 열리는 축제로 소몰이로 유명해요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흰 옷과 붉은 스카프 차림이 전통이고 숙소는 일찍 매진돼요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</si>
  <si>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숙소는 수개월 전에 마감되니 일찍 예약하고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소몰이 참여는 위험하니 관람 위치를 확인하세요</t>
    </r>
    <r>
      <rPr>
        <sz val="10"/>
        <rFont val="Arial"/>
        <family val="0"/>
        <charset val="1"/>
      </rPr>
      <t xml:space="preserve">.</t>
    </r>
  </si>
  <si>
    <t xml:space="preserve">팜플로나 산 페르민 공식 사이트</t>
  </si>
  <si>
    <t xml:space="preserve">https://www.sanfermin.com/</t>
  </si>
  <si>
    <t xml:space="preserve">BE</t>
  </si>
  <si>
    <t xml:space="preserve">벨기에 붐</t>
  </si>
  <si>
    <r>
      <rPr>
        <sz val="10"/>
        <rFont val="Noto Sans CJK SC"/>
        <family val="2"/>
      </rPr>
      <t xml:space="preserve">투모로우랜드 </t>
    </r>
    <r>
      <rPr>
        <sz val="10"/>
        <rFont val="Arial"/>
        <family val="0"/>
        <charset val="1"/>
      </rPr>
      <t xml:space="preserve">(7</t>
    </r>
    <r>
      <rPr>
        <sz val="10"/>
        <rFont val="Noto Sans CJK SC"/>
        <family val="2"/>
      </rPr>
      <t xml:space="preserve">월 하순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</si>
  <si>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벨기에 붐</t>
    </r>
    <r>
      <rPr>
        <sz val="10"/>
        <rFont val="Arial"/>
        <family val="0"/>
        <charset val="1"/>
      </rPr>
      <t xml:space="preserve">(Boom)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 하순 두 번의 주말에 열리는 세계 최대급 전자음악 페스티벌이에요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티켓이 빠르게 매진되니 판매 일정 확인이 필요해요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</si>
  <si>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티켓 판매일과 패키지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숙소 포함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조건을 공식 사이트에서 확인하세요</t>
    </r>
    <r>
      <rPr>
        <sz val="10"/>
        <rFont val="Arial"/>
        <family val="0"/>
        <charset val="1"/>
      </rPr>
      <t xml:space="preserve">.</t>
    </r>
  </si>
  <si>
    <t xml:space="preserve">투모로우랜드 공식 사이트</t>
  </si>
  <si>
    <t xml:space="preserve">https://www.tomorrowland.com/</t>
  </si>
  <si>
    <t xml:space="preserve">일본 아오모리</t>
  </si>
  <si>
    <r>
      <rPr>
        <sz val="10"/>
        <rFont val="Noto Sans CJK SC"/>
        <family val="2"/>
      </rPr>
      <t xml:space="preserve">아오모리 네부타 마츠리 </t>
    </r>
    <r>
      <rPr>
        <sz val="10"/>
        <rFont val="Arial"/>
        <family val="0"/>
        <charset val="1"/>
      </rPr>
      <t xml:space="preserve">(8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2~7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</si>
  <si>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일본 아오모리에서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2~7</t>
    </r>
    <r>
      <rPr>
        <sz val="10"/>
        <rFont val="Noto Sans CJK SC"/>
        <family val="2"/>
      </rPr>
      <t xml:space="preserve">일 열리는 대표 여름 마츠리예요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큼직한 등불 인형 수레가 밤거리를 행진해요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</si>
  <si>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관람 유료석과 참가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하네토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방법을 공식 사이트에서 확인하고 숙소를 일찍 예약하세요</t>
    </r>
    <r>
      <rPr>
        <sz val="10"/>
        <rFont val="Arial"/>
        <family val="0"/>
        <charset val="1"/>
      </rPr>
      <t xml:space="preserve">.</t>
    </r>
  </si>
  <si>
    <t xml:space="preserve">아오모리 네부타 마츠리 공식 사이트</t>
  </si>
  <si>
    <t xml:space="preserve">https://www.nebuta.or.jp/</t>
  </si>
  <si>
    <r>
      <rPr>
        <sz val="10"/>
        <rFont val="Noto Sans CJK SC"/>
        <family val="2"/>
      </rPr>
      <t xml:space="preserve">에든버러 프린지 </t>
    </r>
    <r>
      <rPr>
        <sz val="10"/>
        <rFont val="Arial"/>
        <family val="0"/>
        <charset val="1"/>
      </rPr>
      <t xml:space="preserve">(8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</si>
  <si>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영국 에든버러에서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월에 열리는 세계 최대 규모의 공연 예술 축제 중 하나예요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도시 곳곳이 공연장이 되고 숙소는 매우 붐비고 비싸요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</si>
  <si>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숙소를 일찍 잡고 인기 공연은 미리 예매하세요</t>
    </r>
    <r>
      <rPr>
        <sz val="10"/>
        <rFont val="Arial"/>
        <family val="0"/>
        <charset val="1"/>
      </rPr>
      <t xml:space="preserve">.</t>
    </r>
  </si>
  <si>
    <t xml:space="preserve">에든버러 프린지 공식 사이트</t>
  </si>
  <si>
    <t xml:space="preserve">https://www.edfringe.com/</t>
  </si>
  <si>
    <t xml:space="preserve">스페인 부뇰</t>
  </si>
  <si>
    <r>
      <rPr>
        <sz val="10"/>
        <rFont val="Noto Sans CJK SC"/>
        <family val="2"/>
      </rPr>
      <t xml:space="preserve">라 토마티나 </t>
    </r>
    <r>
      <rPr>
        <sz val="10"/>
        <rFont val="Arial"/>
        <family val="0"/>
        <charset val="1"/>
      </rPr>
      <t xml:space="preserve">(8</t>
    </r>
    <r>
      <rPr>
        <sz val="10"/>
        <rFont val="Noto Sans CJK SC"/>
        <family val="2"/>
      </rPr>
      <t xml:space="preserve">월 마지막 수요일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</si>
  <si>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스페인 부뇰에서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마지막 수요일 토마토를 던지는 축제예요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입장권제로 운영되어 사전 구매가 필요하고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옷은 버릴 각오로 입어야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</si>
  <si>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입장권을 공식 사이트에서 사전 구매하고 방수 케이스를 준비하세요</t>
    </r>
    <r>
      <rPr>
        <sz val="10"/>
        <rFont val="Arial"/>
        <family val="0"/>
        <charset val="1"/>
      </rPr>
      <t xml:space="preserve">.</t>
    </r>
  </si>
  <si>
    <t xml:space="preserve">라 토마티나 공식 사이트</t>
  </si>
  <si>
    <t xml:space="preserve">https://www.tomatina.es/</t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</si>
  <si>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마지막 수요일 규칙으로 계산</t>
    </r>
  </si>
  <si>
    <r>
      <rPr>
        <sz val="10"/>
        <rFont val="Noto Sans CJK SC"/>
        <family val="2"/>
      </rPr>
      <t xml:space="preserve">베네치아 영화제 </t>
    </r>
    <r>
      <rPr>
        <sz val="10"/>
        <rFont val="Arial"/>
        <family val="0"/>
        <charset val="1"/>
      </rPr>
      <t xml:space="preserve">(8</t>
    </r>
    <r>
      <rPr>
        <sz val="10"/>
        <rFont val="Noto Sans CJK SC"/>
        <family val="2"/>
      </rPr>
      <t xml:space="preserve">월 말</t>
    </r>
    <r>
      <rPr>
        <sz val="10"/>
        <rFont val="Arial"/>
        <family val="0"/>
        <charset val="1"/>
      </rPr>
      <t xml:space="preserve">~9</t>
    </r>
    <r>
      <rPr>
        <sz val="10"/>
        <rFont val="Noto Sans CJK SC"/>
        <family val="2"/>
      </rPr>
      <t xml:space="preserve">월 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</si>
  <si>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이탈리아 리도섬에서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말</t>
    </r>
    <r>
      <rPr>
        <sz val="10"/>
        <rFont val="Arial"/>
        <family val="0"/>
        <charset val="1"/>
      </rPr>
      <t xml:space="preserve">~9</t>
    </r>
    <r>
      <rPr>
        <sz val="10"/>
        <rFont val="Noto Sans CJK SC"/>
        <family val="2"/>
      </rPr>
      <t xml:space="preserve">월 초에 열리는 세계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대 국제영화제 중 하나예요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행사 기간 숙소가 붐벼요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</si>
  <si>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행사 기간 숙소와 수상 교통이 혼잡하니 일찍 예약하세요</t>
    </r>
    <r>
      <rPr>
        <sz val="10"/>
        <rFont val="Arial"/>
        <family val="0"/>
        <charset val="1"/>
      </rPr>
      <t xml:space="preserve">.</t>
    </r>
  </si>
  <si>
    <t xml:space="preserve">베네치아 비엔날레</t>
  </si>
  <si>
    <t xml:space="preserve">https://www.labiennale.org/</t>
  </si>
  <si>
    <r>
      <rPr>
        <sz val="10"/>
        <rFont val="Noto Sans CJK SC"/>
        <family val="2"/>
      </rPr>
      <t xml:space="preserve">노팅힐 카니발 </t>
    </r>
    <r>
      <rPr>
        <sz val="10"/>
        <rFont val="Arial"/>
        <family val="0"/>
        <charset val="1"/>
      </rPr>
      <t xml:space="preserve">(8</t>
    </r>
    <r>
      <rPr>
        <sz val="10"/>
        <rFont val="Noto Sans CJK SC"/>
        <family val="2"/>
      </rPr>
      <t xml:space="preserve">월 마지막 주말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</si>
  <si>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런던 노팅힐에서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마지막 주말에 열리는 유럽 최대급 거리 카니발이에요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카리브 음악과 퍼레이드로 일대가 매우 혼잡해요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</si>
  <si>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소지품 도난에 주의하고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일대 교통 통제와 지하철 운영을 미리 확인하세요</t>
    </r>
    <r>
      <rPr>
        <sz val="10"/>
        <rFont val="Arial"/>
        <family val="0"/>
        <charset val="1"/>
      </rPr>
      <t xml:space="preserve">.</t>
    </r>
  </si>
  <si>
    <t xml:space="preserve">노팅힐 카니발 공식 사이트</t>
  </si>
  <si>
    <t xml:space="preserve">https://nhcarnival.org/</t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</si>
  <si>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마지막 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월요일 규칙으로 계산</t>
    </r>
  </si>
  <si>
    <t xml:space="preserve">캐나다 토론토</t>
  </si>
  <si>
    <r>
      <rPr>
        <sz val="10"/>
        <rFont val="Noto Sans CJK SC"/>
        <family val="2"/>
      </rPr>
      <t xml:space="preserve">토론토 국제영화제 </t>
    </r>
    <r>
      <rPr>
        <sz val="10"/>
        <rFont val="Arial"/>
        <family val="0"/>
        <charset val="1"/>
      </rPr>
      <t xml:space="preserve">(9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</si>
  <si>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캐나다 토론토에서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월에 열리는 북미 최대급 영화제로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일반 관객도 티켓을 구매해 영화를 볼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</si>
  <si>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티켓 판매 일정과 상영 스케줄을 공식 사이트에서 확인하세요</t>
    </r>
    <r>
      <rPr>
        <sz val="10"/>
        <rFont val="Arial"/>
        <family val="0"/>
        <charset val="1"/>
      </rPr>
      <t xml:space="preserve">.</t>
    </r>
  </si>
  <si>
    <t xml:space="preserve">토론토 국제영화제</t>
  </si>
  <si>
    <t xml:space="preserve">https://tiff.net/</t>
  </si>
  <si>
    <r>
      <rPr>
        <sz val="10"/>
        <rFont val="Noto Sans CJK SC"/>
        <family val="2"/>
      </rPr>
      <t xml:space="preserve">홍콩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베트남</t>
    </r>
  </si>
  <si>
    <r>
      <rPr>
        <sz val="10"/>
        <rFont val="Noto Sans CJK SC"/>
        <family val="2"/>
      </rPr>
      <t xml:space="preserve">중추절 </t>
    </r>
    <r>
      <rPr>
        <sz val="10"/>
        <rFont val="Arial"/>
        <family val="0"/>
        <charset val="1"/>
      </rPr>
      <t xml:space="preserve">(9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 전후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</si>
  <si>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추석에 해당하는 중추절에 홍콩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베트남 등에서 달맞이와 월병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등불 행사가 이어져요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일부 지역은 공휴일이라 상점이 쉴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</si>
  <si>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공휴일 영업 여부와 등불 행사 장소를 미리 확인하세요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</si>
  <si>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음력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 기준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공식 확인 필요</t>
    </r>
  </si>
  <si>
    <t xml:space="preserve">독일 뮌헨</t>
  </si>
  <si>
    <r>
      <rPr>
        <sz val="10"/>
        <rFont val="Noto Sans CJK SC"/>
        <family val="2"/>
      </rPr>
      <t xml:space="preserve">뮌헨 옥토버페스트 </t>
    </r>
    <r>
      <rPr>
        <sz val="10"/>
        <rFont val="Arial"/>
        <family val="0"/>
        <charset val="1"/>
      </rPr>
      <t xml:space="preserve">(9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~10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</si>
  <si>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독일 뮌헨에서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중순부터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 초까지 열리는 세계 최대 맥주 축제예요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맥주 천막 자리와 숙소 예약이 일찍 마감돼요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</si>
  <si>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천막 좌석 예약 방식과 숙소는 일찍 확보하고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소지품 관리에 주의하세요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</si>
  <si>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옥토버페스트 공식 사이트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뮌헨시</t>
    </r>
    <r>
      <rPr>
        <sz val="10"/>
        <rFont val="Arial"/>
        <family val="0"/>
        <charset val="1"/>
      </rPr>
      <t xml:space="preserve">)</t>
    </r>
  </si>
  <si>
    <t xml:space="preserve">https://www.oktoberfest.de/</t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</si>
  <si>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 이후 첫 토요일 시작 규칙으로 계산</t>
    </r>
  </si>
  <si>
    <t xml:space="preserve">스페인 바르셀로나</t>
  </si>
  <si>
    <r>
      <rPr>
        <sz val="10"/>
        <rFont val="Noto Sans CJK SC"/>
        <family val="2"/>
      </rPr>
      <t xml:space="preserve">바르셀로나 라 메르세 </t>
    </r>
    <r>
      <rPr>
        <sz val="10"/>
        <rFont val="Arial"/>
        <family val="0"/>
        <charset val="1"/>
      </rPr>
      <t xml:space="preserve">(9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일 전후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</si>
  <si>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바르셀로나 최대 도시 축제로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일 무렵 거리 행진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인간 탑 쌓기 카스텔스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불의 행렬 등이 열려요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</si>
  <si>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행사장 위치와 시간은 공식 프로그램에서 확인하세요</t>
    </r>
    <r>
      <rPr>
        <sz val="10"/>
        <rFont val="Arial"/>
        <family val="0"/>
        <charset val="1"/>
      </rPr>
      <t xml:space="preserve">.</t>
    </r>
  </si>
  <si>
    <t xml:space="preserve">바르셀로나 시청</t>
  </si>
  <si>
    <t xml:space="preserve">https://www.barcelona.cat/</t>
  </si>
  <si>
    <r>
      <rPr>
        <sz val="10"/>
        <rFont val="Noto Sans CJK SC"/>
        <family val="2"/>
      </rPr>
      <t xml:space="preserve">기간</t>
    </r>
    <r>
      <rPr>
        <sz val="10"/>
        <rFont val="Arial"/>
        <family val="0"/>
        <charset val="1"/>
      </rPr>
      <t xml:space="preserve">: 2026-10 ~ 2027-09 (</t>
    </r>
    <r>
      <rPr>
        <sz val="10"/>
        <rFont val="Noto Sans CJK SC"/>
        <family val="2"/>
      </rPr>
      <t xml:space="preserve">앞으로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총 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시작일 순으로 정렬했고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열로 필터할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</si>
  <si>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게시일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권장</t>
    </r>
    <r>
      <rPr>
        <sz val="10"/>
        <rFont val="Arial"/>
        <family val="0"/>
        <charset val="1"/>
      </rPr>
      <t xml:space="preserve">) = </t>
    </r>
    <r>
      <rPr>
        <sz val="10"/>
        <rFont val="Noto Sans CJK SC"/>
        <family val="2"/>
      </rPr>
      <t xml:space="preserve">행사 시작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이미 지났으면 </t>
    </r>
    <r>
      <rPr>
        <sz val="10"/>
        <rFont val="Arial"/>
        <family val="0"/>
        <charset val="1"/>
      </rPr>
      <t xml:space="preserve">2026-10-17). </t>
    </r>
    <r>
      <rPr>
        <sz val="10"/>
        <rFont val="Noto Sans CJK SC"/>
        <family val="2"/>
      </rPr>
      <t xml:space="preserve">오늘 게시할 항목은 게시일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권장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2026-10-17</t>
    </r>
    <r>
      <rPr>
        <sz val="10"/>
        <rFont val="Noto Sans CJK SC"/>
        <family val="2"/>
      </rPr>
      <t xml:space="preserve">인 행이에요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기준일은 수식 안 </t>
    </r>
    <r>
      <rPr>
        <sz val="10"/>
        <rFont val="Arial"/>
        <family val="0"/>
        <charset val="1"/>
      </rPr>
      <t xml:space="preserve">DATE(2026,10,17)</t>
    </r>
    <r>
      <rPr>
        <sz val="10"/>
        <rFont val="Noto Sans CJK SC"/>
        <family val="2"/>
      </rPr>
      <t xml:space="preserve">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</si>
  <si>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날짜 확정도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공식 자료로 날짜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고정일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매년 같은 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규칙기준</t>
    </r>
    <r>
      <rPr>
        <sz val="10"/>
        <rFont val="Arial"/>
        <family val="0"/>
        <charset val="1"/>
      </rPr>
      <t xml:space="preserve">='8</t>
    </r>
    <r>
      <rPr>
        <sz val="10"/>
        <rFont val="Noto Sans CJK SC"/>
        <family val="2"/>
      </rPr>
      <t xml:space="preserve">월 마지막 수요일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같은 규칙으로 계산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예상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공식 발표 전 대략값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게시 전에 반드시 공식 사이트에서 확인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</si>
  <si>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요약은 원문을 복사하지 않고 새로 쓴 문장이에요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출처 </t>
    </r>
    <r>
      <rPr>
        <sz val="10"/>
        <rFont val="Arial"/>
        <family val="0"/>
        <charset val="1"/>
      </rPr>
      <t xml:space="preserve">URL</t>
    </r>
    <r>
      <rPr>
        <sz val="10"/>
        <rFont val="Noto Sans CJK SC"/>
        <family val="2"/>
      </rPr>
      <t xml:space="preserve">은 공식 기관의 루트 주소라서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등록 전에 행사 상세 페이지의 공식 </t>
    </r>
    <r>
      <rPr>
        <sz val="10"/>
        <rFont val="Arial"/>
        <family val="0"/>
        <charset val="1"/>
      </rPr>
      <t xml:space="preserve">URL</t>
    </r>
    <r>
      <rPr>
        <sz val="10"/>
        <rFont val="Noto Sans CJK SC"/>
        <family val="2"/>
      </rPr>
      <t xml:space="preserve">로 바꾸는 것을 권장해요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딥링크는 확인하지 못했어요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</si>
  <si>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관리 페이지 새 소식 등록 양식의 실제 항목은 직접 확인하지 못했어요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열 구성은 </t>
    </r>
    <r>
      <rPr>
        <sz val="10"/>
        <rFont val="Arial"/>
        <family val="0"/>
        <charset val="1"/>
      </rPr>
      <t xml:space="preserve">PRD v13 </t>
    </r>
    <r>
      <rPr>
        <sz val="10"/>
        <rFont val="Noto Sans CJK SC"/>
        <family val="2"/>
      </rPr>
      <t xml:space="preserve">필드 기준이고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양식과 다르면 알려 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</si>
  <si>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숙소 마감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휴무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극심한 혼잡처럼 일정에 영향이 큰 행사만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보통</t>
    </r>
    <r>
      <rPr>
        <sz val="10"/>
        <rFont val="Arial"/>
        <family val="0"/>
        <charset val="1"/>
      </rPr>
      <t xml:space="preserve">', </t>
    </r>
    <r>
      <rPr>
        <sz val="10"/>
        <rFont val="Noto Sans CJK SC"/>
        <family val="2"/>
      </rPr>
      <t xml:space="preserve">나머지는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참고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넣었어요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</si>
  <si>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2026-10~11</t>
    </r>
    <r>
      <rPr>
        <sz val="10"/>
        <rFont val="Noto Sans CJK SC"/>
        <family val="2"/>
      </rPr>
      <t xml:space="preserve">월 앞쪽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건은 지난번에 드린 목록과 같고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공식 자료 확인분 포함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이후 항목 대부분은 제 지식 기반 정리라 날짜를 다시 확인해야 해요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</si>
</sst>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F5BEA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B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5BEA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6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30"/>
    <col collapsed="false" customWidth="true" hidden="false" outlineLevel="0" max="8" min="8" style="0" width="60"/>
    <col collapsed="false" customWidth="true" hidden="false" outlineLevel="0" max="9" min="9" style="0" width="38"/>
    <col collapsed="false" customWidth="true" hidden="false" outlineLevel="0" max="10" min="10" style="0" width="7"/>
    <col collapsed="false" customWidth="true" hidden="false" outlineLevel="0" max="13" min="11" style="0" width="12"/>
    <col collapsed="false" customWidth="true" hidden="false" outlineLevel="0" max="14" min="14" style="0" width="22"/>
    <col collapsed="false" customWidth="true" hidden="false" outlineLevel="0" max="15" min="15" style="0" width="32"/>
    <col collapsed="false" customWidth="true" hidden="false" outlineLevel="0" max="16" min="16" style="0" width="9"/>
    <col collapsed="false" customWidth="true" hidden="false" outlineLevel="0" max="17" min="17" style="0" width="7"/>
    <col collapsed="false" customWidth="true" hidden="false" outlineLevel="0" max="18" min="18" style="0" width="36"/>
  </cols>
  <sheetData>
    <row r="1" customFormat="false" ht="4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44" hidden="false" customHeight="false" outlineLevel="0" collapsed="false">
      <c r="A2" s="2" t="n">
        <f aca="false">MONTH(L2)</f>
        <v>10</v>
      </c>
      <c r="B2" s="3" t="s">
        <v>18</v>
      </c>
      <c r="C2" s="3" t="s">
        <v>19</v>
      </c>
      <c r="D2" s="2" t="s">
        <v>20</v>
      </c>
      <c r="E2" s="3" t="s">
        <v>21</v>
      </c>
      <c r="F2" s="3"/>
      <c r="G2" s="3" t="s">
        <v>22</v>
      </c>
      <c r="H2" s="3" t="s">
        <v>23</v>
      </c>
      <c r="I2" s="3" t="s">
        <v>24</v>
      </c>
      <c r="J2" s="3" t="s">
        <v>25</v>
      </c>
      <c r="K2" s="4" t="n">
        <f aca="false">MAX(DATE(2026,10,17),L2-30)</f>
        <v>46312</v>
      </c>
      <c r="L2" s="4" t="n">
        <v>46317</v>
      </c>
      <c r="M2" s="4" t="n">
        <v>46318</v>
      </c>
      <c r="N2" s="3" t="s">
        <v>26</v>
      </c>
      <c r="O2" s="2" t="s">
        <v>27</v>
      </c>
      <c r="P2" s="3" t="s">
        <v>28</v>
      </c>
      <c r="Q2" s="3" t="n">
        <f aca="false">LEN(H2)</f>
        <v>115</v>
      </c>
      <c r="R2" s="2" t="s">
        <v>29</v>
      </c>
    </row>
    <row r="3" customFormat="false" ht="44" hidden="false" customHeight="false" outlineLevel="0" collapsed="false">
      <c r="A3" s="3" t="n">
        <f aca="false">MONTH(L3)</f>
        <v>11</v>
      </c>
      <c r="B3" s="3" t="s">
        <v>18</v>
      </c>
      <c r="C3" s="3" t="s">
        <v>19</v>
      </c>
      <c r="D3" s="2" t="s">
        <v>30</v>
      </c>
      <c r="E3" s="3" t="s">
        <v>31</v>
      </c>
      <c r="F3" s="3"/>
      <c r="G3" s="3" t="s">
        <v>32</v>
      </c>
      <c r="H3" s="3" t="s">
        <v>33</v>
      </c>
      <c r="I3" s="3" t="s">
        <v>34</v>
      </c>
      <c r="J3" s="3" t="s">
        <v>25</v>
      </c>
      <c r="K3" s="4" t="n">
        <f aca="false">MAX(DATE(2026,10,17),L3-30)</f>
        <v>46312</v>
      </c>
      <c r="L3" s="4" t="n">
        <v>46327</v>
      </c>
      <c r="M3" s="4" t="n">
        <v>46328</v>
      </c>
      <c r="N3" s="3" t="s">
        <v>35</v>
      </c>
      <c r="O3" s="2" t="s">
        <v>36</v>
      </c>
      <c r="P3" s="3" t="s">
        <v>37</v>
      </c>
      <c r="Q3" s="3" t="n">
        <f aca="false">LEN(H3)</f>
        <v>91</v>
      </c>
      <c r="R3" s="3"/>
    </row>
    <row r="4" customFormat="false" ht="44" hidden="false" customHeight="false" outlineLevel="0" collapsed="false">
      <c r="A4" s="3" t="n">
        <f aca="false">MONTH(L4)</f>
        <v>11</v>
      </c>
      <c r="B4" s="3" t="s">
        <v>18</v>
      </c>
      <c r="C4" s="3" t="s">
        <v>19</v>
      </c>
      <c r="D4" s="2" t="s">
        <v>38</v>
      </c>
      <c r="E4" s="3" t="s">
        <v>39</v>
      </c>
      <c r="F4" s="3"/>
      <c r="G4" s="3" t="s">
        <v>40</v>
      </c>
      <c r="H4" s="2" t="s">
        <v>41</v>
      </c>
      <c r="I4" s="3" t="s">
        <v>42</v>
      </c>
      <c r="J4" s="3" t="s">
        <v>25</v>
      </c>
      <c r="K4" s="4" t="n">
        <f aca="false">MAX(DATE(2026,10,17),L4-30)</f>
        <v>46312</v>
      </c>
      <c r="L4" s="4" t="n">
        <v>46331</v>
      </c>
      <c r="M4" s="4" t="n">
        <v>46331</v>
      </c>
      <c r="N4" s="3" t="s">
        <v>43</v>
      </c>
      <c r="O4" s="2" t="s">
        <v>44</v>
      </c>
      <c r="P4" s="3" t="s">
        <v>37</v>
      </c>
      <c r="Q4" s="3" t="n">
        <f aca="false">LEN(H4)</f>
        <v>99</v>
      </c>
      <c r="R4" s="3"/>
    </row>
    <row r="5" customFormat="false" ht="44" hidden="false" customHeight="false" outlineLevel="0" collapsed="false">
      <c r="A5" s="3" t="n">
        <f aca="false">MONTH(L5)</f>
        <v>11</v>
      </c>
      <c r="B5" s="3" t="s">
        <v>18</v>
      </c>
      <c r="C5" s="3" t="s">
        <v>19</v>
      </c>
      <c r="D5" s="2" t="s">
        <v>45</v>
      </c>
      <c r="E5" s="3" t="s">
        <v>46</v>
      </c>
      <c r="F5" s="3"/>
      <c r="G5" s="3" t="s">
        <v>47</v>
      </c>
      <c r="H5" s="3" t="s">
        <v>48</v>
      </c>
      <c r="I5" s="3" t="s">
        <v>49</v>
      </c>
      <c r="J5" s="3" t="s">
        <v>50</v>
      </c>
      <c r="K5" s="4" t="n">
        <f aca="false">MAX(DATE(2026,10,17),L5-30)</f>
        <v>46312</v>
      </c>
      <c r="L5" s="4" t="n">
        <v>46334</v>
      </c>
      <c r="M5" s="4" t="n">
        <v>46334</v>
      </c>
      <c r="N5" s="3" t="s">
        <v>51</v>
      </c>
      <c r="O5" s="2" t="s">
        <v>52</v>
      </c>
      <c r="P5" s="3" t="s">
        <v>28</v>
      </c>
      <c r="Q5" s="3" t="n">
        <f aca="false">LEN(H5)</f>
        <v>101</v>
      </c>
      <c r="R5" s="3" t="s">
        <v>53</v>
      </c>
    </row>
    <row r="6" customFormat="false" ht="44" hidden="false" customHeight="false" outlineLevel="0" collapsed="false">
      <c r="A6" s="3" t="n">
        <f aca="false">MONTH(L6)</f>
        <v>11</v>
      </c>
      <c r="B6" s="3" t="s">
        <v>18</v>
      </c>
      <c r="C6" s="3" t="s">
        <v>19</v>
      </c>
      <c r="D6" s="2" t="s">
        <v>54</v>
      </c>
      <c r="E6" s="3" t="s">
        <v>55</v>
      </c>
      <c r="F6" s="3"/>
      <c r="G6" s="3" t="s">
        <v>56</v>
      </c>
      <c r="H6" s="3" t="s">
        <v>57</v>
      </c>
      <c r="I6" s="3" t="s">
        <v>58</v>
      </c>
      <c r="J6" s="3" t="s">
        <v>25</v>
      </c>
      <c r="K6" s="4" t="n">
        <f aca="false">MAX(DATE(2026,10,17),L6-30)</f>
        <v>46316</v>
      </c>
      <c r="L6" s="4" t="n">
        <v>46346</v>
      </c>
      <c r="M6" s="4" t="n">
        <v>46380</v>
      </c>
      <c r="N6" s="3" t="s">
        <v>59</v>
      </c>
      <c r="O6" s="2" t="s">
        <v>60</v>
      </c>
      <c r="P6" s="3" t="s">
        <v>61</v>
      </c>
      <c r="Q6" s="3" t="n">
        <f aca="false">LEN(H6)</f>
        <v>89</v>
      </c>
      <c r="R6" s="3" t="s">
        <v>62</v>
      </c>
    </row>
    <row r="7" customFormat="false" ht="44" hidden="false" customHeight="false" outlineLevel="0" collapsed="false">
      <c r="A7" s="3" t="n">
        <f aca="false">MONTH(L7)</f>
        <v>11</v>
      </c>
      <c r="B7" s="3" t="s">
        <v>18</v>
      </c>
      <c r="C7" s="3" t="s">
        <v>19</v>
      </c>
      <c r="D7" s="2" t="s">
        <v>63</v>
      </c>
      <c r="E7" s="3" t="s">
        <v>64</v>
      </c>
      <c r="F7" s="3"/>
      <c r="G7" s="3" t="s">
        <v>65</v>
      </c>
      <c r="H7" s="3" t="s">
        <v>66</v>
      </c>
      <c r="I7" s="3" t="s">
        <v>67</v>
      </c>
      <c r="J7" s="3" t="s">
        <v>25</v>
      </c>
      <c r="K7" s="4" t="n">
        <f aca="false">MAX(DATE(2026,10,17),L7-30)</f>
        <v>46320</v>
      </c>
      <c r="L7" s="4" t="n">
        <v>46350</v>
      </c>
      <c r="M7" s="4" t="n">
        <v>46351</v>
      </c>
      <c r="N7" s="3" t="s">
        <v>68</v>
      </c>
      <c r="O7" s="2" t="s">
        <v>69</v>
      </c>
      <c r="P7" s="3" t="s">
        <v>61</v>
      </c>
      <c r="Q7" s="3" t="n">
        <f aca="false">LEN(H7)</f>
        <v>105</v>
      </c>
      <c r="R7" s="3" t="s">
        <v>70</v>
      </c>
    </row>
    <row r="8" customFormat="false" ht="29.85" hidden="false" customHeight="false" outlineLevel="0" collapsed="false">
      <c r="A8" s="3" t="n">
        <f aca="false">MONTH(L8)</f>
        <v>11</v>
      </c>
      <c r="B8" s="3" t="s">
        <v>18</v>
      </c>
      <c r="C8" s="3" t="s">
        <v>19</v>
      </c>
      <c r="D8" s="2" t="s">
        <v>71</v>
      </c>
      <c r="E8" s="3" t="s">
        <v>72</v>
      </c>
      <c r="F8" s="3"/>
      <c r="G8" s="3" t="s">
        <v>73</v>
      </c>
      <c r="H8" s="3" t="s">
        <v>74</v>
      </c>
      <c r="I8" s="3" t="s">
        <v>75</v>
      </c>
      <c r="J8" s="3" t="s">
        <v>25</v>
      </c>
      <c r="K8" s="4" t="n">
        <f aca="false">MAX(DATE(2026,10,17),L8-30)</f>
        <v>46322</v>
      </c>
      <c r="L8" s="4" t="n">
        <v>46352</v>
      </c>
      <c r="M8" s="4" t="n">
        <v>46352</v>
      </c>
      <c r="N8" s="3" t="s">
        <v>76</v>
      </c>
      <c r="O8" s="2" t="s">
        <v>77</v>
      </c>
      <c r="P8" s="3" t="s">
        <v>78</v>
      </c>
      <c r="Q8" s="3" t="n">
        <f aca="false">LEN(H8)</f>
        <v>72</v>
      </c>
      <c r="R8" s="3" t="s">
        <v>79</v>
      </c>
    </row>
    <row r="9" customFormat="false" ht="29.85" hidden="false" customHeight="false" outlineLevel="0" collapsed="false">
      <c r="A9" s="3" t="n">
        <f aca="false">MONTH(L9)</f>
        <v>12</v>
      </c>
      <c r="B9" s="3" t="s">
        <v>18</v>
      </c>
      <c r="C9" s="3" t="s">
        <v>19</v>
      </c>
      <c r="D9" s="2" t="s">
        <v>20</v>
      </c>
      <c r="E9" s="3" t="s">
        <v>80</v>
      </c>
      <c r="F9" s="3"/>
      <c r="G9" s="3" t="s">
        <v>81</v>
      </c>
      <c r="H9" s="3" t="s">
        <v>82</v>
      </c>
      <c r="I9" s="3" t="s">
        <v>83</v>
      </c>
      <c r="J9" s="3" t="s">
        <v>25</v>
      </c>
      <c r="K9" s="4" t="n">
        <f aca="false">MAX(DATE(2026,10,17),L9-30)</f>
        <v>46329</v>
      </c>
      <c r="L9" s="4" t="n">
        <v>46359</v>
      </c>
      <c r="M9" s="4" t="n">
        <v>46370</v>
      </c>
      <c r="N9" s="3" t="s">
        <v>84</v>
      </c>
      <c r="O9" s="2" t="s">
        <v>85</v>
      </c>
      <c r="P9" s="3" t="s">
        <v>61</v>
      </c>
      <c r="Q9" s="3" t="n">
        <f aca="false">LEN(H9)</f>
        <v>84</v>
      </c>
      <c r="R9" s="3" t="s">
        <v>86</v>
      </c>
    </row>
    <row r="10" customFormat="false" ht="29.85" hidden="false" customHeight="false" outlineLevel="0" collapsed="false">
      <c r="A10" s="3" t="n">
        <f aca="false">MONTH(L10)</f>
        <v>12</v>
      </c>
      <c r="B10" s="3" t="s">
        <v>18</v>
      </c>
      <c r="C10" s="3" t="s">
        <v>19</v>
      </c>
      <c r="D10" s="2" t="s">
        <v>87</v>
      </c>
      <c r="E10" s="3" t="s">
        <v>88</v>
      </c>
      <c r="F10" s="3"/>
      <c r="G10" s="3" t="s">
        <v>89</v>
      </c>
      <c r="H10" s="3" t="s">
        <v>90</v>
      </c>
      <c r="I10" s="3" t="s">
        <v>91</v>
      </c>
      <c r="J10" s="3" t="s">
        <v>25</v>
      </c>
      <c r="K10" s="4" t="n">
        <f aca="false">MAX(DATE(2026,10,17),L10-30)</f>
        <v>46339</v>
      </c>
      <c r="L10" s="4" t="n">
        <v>46369</v>
      </c>
      <c r="M10" s="4" t="n">
        <v>46369</v>
      </c>
      <c r="N10" s="3" t="s">
        <v>92</v>
      </c>
      <c r="O10" s="2" t="s">
        <v>93</v>
      </c>
      <c r="P10" s="3" t="s">
        <v>37</v>
      </c>
      <c r="Q10" s="3" t="n">
        <f aca="false">LEN(H10)</f>
        <v>71</v>
      </c>
      <c r="R10" s="3"/>
    </row>
    <row r="11" customFormat="false" ht="44" hidden="false" customHeight="false" outlineLevel="0" collapsed="false">
      <c r="A11" s="3" t="n">
        <f aca="false">MONTH(L11)</f>
        <v>12</v>
      </c>
      <c r="B11" s="3" t="s">
        <v>18</v>
      </c>
      <c r="C11" s="3" t="s">
        <v>19</v>
      </c>
      <c r="D11" s="2" t="s">
        <v>38</v>
      </c>
      <c r="E11" s="3" t="s">
        <v>94</v>
      </c>
      <c r="F11" s="3"/>
      <c r="G11" s="3" t="s">
        <v>95</v>
      </c>
      <c r="H11" s="3" t="s">
        <v>96</v>
      </c>
      <c r="I11" s="3" t="s">
        <v>97</v>
      </c>
      <c r="J11" s="3" t="s">
        <v>25</v>
      </c>
      <c r="K11" s="4" t="n">
        <f aca="false">MAX(DATE(2026,10,17),L11-30)</f>
        <v>46355</v>
      </c>
      <c r="L11" s="4" t="n">
        <v>46385</v>
      </c>
      <c r="M11" s="4" t="n">
        <v>46388</v>
      </c>
      <c r="N11" s="3" t="s">
        <v>98</v>
      </c>
      <c r="O11" s="2" t="s">
        <v>99</v>
      </c>
      <c r="P11" s="3" t="s">
        <v>37</v>
      </c>
      <c r="Q11" s="3" t="n">
        <f aca="false">LEN(H11)</f>
        <v>91</v>
      </c>
      <c r="R11" s="3"/>
    </row>
    <row r="12" customFormat="false" ht="29.85" hidden="false" customHeight="false" outlineLevel="0" collapsed="false">
      <c r="A12" s="3" t="n">
        <f aca="false">MONTH(L12)</f>
        <v>12</v>
      </c>
      <c r="B12" s="3" t="s">
        <v>18</v>
      </c>
      <c r="C12" s="3" t="s">
        <v>19</v>
      </c>
      <c r="D12" s="2" t="s">
        <v>100</v>
      </c>
      <c r="E12" s="3" t="s">
        <v>101</v>
      </c>
      <c r="F12" s="3"/>
      <c r="G12" s="3" t="s">
        <v>102</v>
      </c>
      <c r="H12" s="3" t="s">
        <v>103</v>
      </c>
      <c r="I12" s="3" t="s">
        <v>104</v>
      </c>
      <c r="J12" s="3" t="s">
        <v>25</v>
      </c>
      <c r="K12" s="4" t="n">
        <f aca="false">MAX(DATE(2026,10,17),L12-30)</f>
        <v>46357</v>
      </c>
      <c r="L12" s="4" t="n">
        <v>46387</v>
      </c>
      <c r="M12" s="4" t="n">
        <v>46387</v>
      </c>
      <c r="N12" s="3" t="s">
        <v>105</v>
      </c>
      <c r="O12" s="2" t="s">
        <v>106</v>
      </c>
      <c r="P12" s="3" t="s">
        <v>37</v>
      </c>
      <c r="Q12" s="3" t="n">
        <f aca="false">LEN(H12)</f>
        <v>80</v>
      </c>
      <c r="R12" s="3"/>
    </row>
    <row r="13" customFormat="false" ht="29.85" hidden="false" customHeight="false" outlineLevel="0" collapsed="false">
      <c r="A13" s="3" t="n">
        <f aca="false">MONTH(L13)</f>
        <v>1</v>
      </c>
      <c r="B13" s="3" t="s">
        <v>18</v>
      </c>
      <c r="C13" s="3" t="s">
        <v>19</v>
      </c>
      <c r="D13" s="2" t="s">
        <v>107</v>
      </c>
      <c r="E13" s="3" t="s">
        <v>108</v>
      </c>
      <c r="F13" s="3"/>
      <c r="G13" s="3" t="s">
        <v>109</v>
      </c>
      <c r="H13" s="3" t="s">
        <v>110</v>
      </c>
      <c r="I13" s="3" t="s">
        <v>111</v>
      </c>
      <c r="J13" s="3" t="s">
        <v>25</v>
      </c>
      <c r="K13" s="4" t="n">
        <f aca="false">MAX(DATE(2026,10,17),L13-30)</f>
        <v>46362</v>
      </c>
      <c r="L13" s="4" t="n">
        <v>46392</v>
      </c>
      <c r="M13" s="4" t="n">
        <v>46446</v>
      </c>
      <c r="N13" s="3" t="s">
        <v>112</v>
      </c>
      <c r="O13" s="2" t="s">
        <v>113</v>
      </c>
      <c r="P13" s="3" t="s">
        <v>61</v>
      </c>
      <c r="Q13" s="3" t="n">
        <f aca="false">LEN(H13)</f>
        <v>89</v>
      </c>
      <c r="R13" s="3" t="s">
        <v>114</v>
      </c>
    </row>
    <row r="14" customFormat="false" ht="29.85" hidden="false" customHeight="false" outlineLevel="0" collapsed="false">
      <c r="A14" s="3" t="n">
        <f aca="false">MONTH(L14)</f>
        <v>1</v>
      </c>
      <c r="B14" s="3" t="s">
        <v>18</v>
      </c>
      <c r="C14" s="3" t="s">
        <v>19</v>
      </c>
      <c r="D14" s="2" t="s">
        <v>100</v>
      </c>
      <c r="E14" s="3" t="s">
        <v>101</v>
      </c>
      <c r="F14" s="3"/>
      <c r="G14" s="3" t="s">
        <v>115</v>
      </c>
      <c r="H14" s="3" t="s">
        <v>116</v>
      </c>
      <c r="I14" s="3" t="s">
        <v>117</v>
      </c>
      <c r="J14" s="3" t="s">
        <v>25</v>
      </c>
      <c r="K14" s="4" t="n">
        <f aca="false">MAX(DATE(2026,10,17),L14-30)</f>
        <v>46365</v>
      </c>
      <c r="L14" s="4" t="n">
        <v>46395</v>
      </c>
      <c r="M14" s="4" t="n">
        <v>46413</v>
      </c>
      <c r="N14" s="3" t="s">
        <v>118</v>
      </c>
      <c r="O14" s="2" t="s">
        <v>119</v>
      </c>
      <c r="P14" s="3" t="s">
        <v>61</v>
      </c>
      <c r="Q14" s="3" t="n">
        <f aca="false">LEN(H14)</f>
        <v>74</v>
      </c>
      <c r="R14" s="3" t="s">
        <v>120</v>
      </c>
    </row>
    <row r="15" customFormat="false" ht="29.85" hidden="false" customHeight="false" outlineLevel="0" collapsed="false">
      <c r="A15" s="3" t="n">
        <f aca="false">MONTH(L15)</f>
        <v>1</v>
      </c>
      <c r="B15" s="3" t="s">
        <v>18</v>
      </c>
      <c r="C15" s="3" t="s">
        <v>19</v>
      </c>
      <c r="D15" s="2" t="s">
        <v>121</v>
      </c>
      <c r="E15" s="3" t="s">
        <v>122</v>
      </c>
      <c r="F15" s="3"/>
      <c r="G15" s="3" t="s">
        <v>123</v>
      </c>
      <c r="H15" s="3" t="s">
        <v>124</v>
      </c>
      <c r="I15" s="3" t="s">
        <v>125</v>
      </c>
      <c r="J15" s="3" t="s">
        <v>25</v>
      </c>
      <c r="K15" s="4" t="n">
        <f aca="false">MAX(DATE(2026,10,17),L15-30)</f>
        <v>46380</v>
      </c>
      <c r="L15" s="4" t="n">
        <v>46410</v>
      </c>
      <c r="M15" s="4" t="n">
        <v>46427</v>
      </c>
      <c r="N15" s="3" t="s">
        <v>126</v>
      </c>
      <c r="O15" s="2" t="s">
        <v>127</v>
      </c>
      <c r="P15" s="3" t="s">
        <v>61</v>
      </c>
      <c r="Q15" s="3" t="n">
        <f aca="false">LEN(H15)</f>
        <v>61</v>
      </c>
      <c r="R15" s="3" t="s">
        <v>128</v>
      </c>
    </row>
    <row r="16" customFormat="false" ht="29.85" hidden="false" customHeight="false" outlineLevel="0" collapsed="false">
      <c r="A16" s="3" t="n">
        <f aca="false">MONTH(L16)</f>
        <v>1</v>
      </c>
      <c r="B16" s="3" t="s">
        <v>18</v>
      </c>
      <c r="C16" s="3" t="s">
        <v>19</v>
      </c>
      <c r="D16" s="2" t="s">
        <v>129</v>
      </c>
      <c r="E16" s="3" t="s">
        <v>130</v>
      </c>
      <c r="F16" s="3"/>
      <c r="G16" s="3" t="s">
        <v>131</v>
      </c>
      <c r="H16" s="3" t="s">
        <v>132</v>
      </c>
      <c r="I16" s="3" t="s">
        <v>133</v>
      </c>
      <c r="J16" s="3" t="s">
        <v>25</v>
      </c>
      <c r="K16" s="4" t="n">
        <f aca="false">MAX(DATE(2026,10,17),L16-30)</f>
        <v>46386</v>
      </c>
      <c r="L16" s="4" t="n">
        <v>46416</v>
      </c>
      <c r="M16" s="4" t="n">
        <v>46432</v>
      </c>
      <c r="N16" s="3" t="s">
        <v>134</v>
      </c>
      <c r="O16" s="2" t="s">
        <v>135</v>
      </c>
      <c r="P16" s="3" t="s">
        <v>61</v>
      </c>
      <c r="Q16" s="3" t="n">
        <f aca="false">LEN(H16)</f>
        <v>65</v>
      </c>
      <c r="R16" s="3" t="s">
        <v>120</v>
      </c>
    </row>
    <row r="17" customFormat="false" ht="29.85" hidden="false" customHeight="false" outlineLevel="0" collapsed="false">
      <c r="A17" s="3" t="n">
        <f aca="false">MONTH(L17)</f>
        <v>2</v>
      </c>
      <c r="B17" s="3" t="s">
        <v>18</v>
      </c>
      <c r="C17" s="3" t="s">
        <v>19</v>
      </c>
      <c r="D17" s="2" t="s">
        <v>20</v>
      </c>
      <c r="E17" s="3" t="s">
        <v>136</v>
      </c>
      <c r="F17" s="3"/>
      <c r="G17" s="3" t="s">
        <v>137</v>
      </c>
      <c r="H17" s="3" t="s">
        <v>138</v>
      </c>
      <c r="I17" s="3" t="s">
        <v>139</v>
      </c>
      <c r="J17" s="3" t="s">
        <v>50</v>
      </c>
      <c r="K17" s="4" t="n">
        <f aca="false">MAX(DATE(2026,10,17),L17-30)</f>
        <v>46392</v>
      </c>
      <c r="L17" s="4" t="n">
        <v>46422</v>
      </c>
      <c r="M17" s="4" t="n">
        <v>46429</v>
      </c>
      <c r="N17" s="3" t="s">
        <v>140</v>
      </c>
      <c r="O17" s="2" t="s">
        <v>141</v>
      </c>
      <c r="P17" s="3" t="s">
        <v>61</v>
      </c>
      <c r="Q17" s="3" t="n">
        <f aca="false">LEN(H17)</f>
        <v>69</v>
      </c>
      <c r="R17" s="3" t="s">
        <v>86</v>
      </c>
    </row>
    <row r="18" customFormat="false" ht="29.85" hidden="false" customHeight="false" outlineLevel="0" collapsed="false">
      <c r="A18" s="3" t="n">
        <f aca="false">MONTH(L18)</f>
        <v>2</v>
      </c>
      <c r="B18" s="3" t="s">
        <v>18</v>
      </c>
      <c r="C18" s="3" t="s">
        <v>19</v>
      </c>
      <c r="D18" s="2" t="s">
        <v>142</v>
      </c>
      <c r="E18" s="3" t="s">
        <v>143</v>
      </c>
      <c r="F18" s="3"/>
      <c r="G18" s="3" t="s">
        <v>144</v>
      </c>
      <c r="H18" s="3" t="s">
        <v>145</v>
      </c>
      <c r="I18" s="3" t="s">
        <v>146</v>
      </c>
      <c r="J18" s="3" t="s">
        <v>50</v>
      </c>
      <c r="K18" s="4" t="n">
        <f aca="false">MAX(DATE(2026,10,17),L18-30)</f>
        <v>46393</v>
      </c>
      <c r="L18" s="4" t="n">
        <v>46423</v>
      </c>
      <c r="M18" s="4" t="n">
        <v>46427</v>
      </c>
      <c r="N18" s="3" t="s">
        <v>147</v>
      </c>
      <c r="O18" s="2" t="s">
        <v>148</v>
      </c>
      <c r="P18" s="3" t="s">
        <v>78</v>
      </c>
      <c r="Q18" s="3" t="n">
        <f aca="false">LEN(H18)</f>
        <v>79</v>
      </c>
      <c r="R18" s="3" t="s">
        <v>149</v>
      </c>
    </row>
    <row r="19" customFormat="false" ht="44" hidden="false" customHeight="false" outlineLevel="0" collapsed="false">
      <c r="A19" s="3" t="n">
        <f aca="false">MONTH(L19)</f>
        <v>2</v>
      </c>
      <c r="B19" s="3" t="s">
        <v>18</v>
      </c>
      <c r="C19" s="3" t="s">
        <v>19</v>
      </c>
      <c r="D19" s="2" t="s">
        <v>150</v>
      </c>
      <c r="E19" s="3" t="s">
        <v>151</v>
      </c>
      <c r="F19" s="3"/>
      <c r="G19" s="3" t="s">
        <v>152</v>
      </c>
      <c r="H19" s="3" t="s">
        <v>153</v>
      </c>
      <c r="I19" s="3" t="s">
        <v>154</v>
      </c>
      <c r="J19" s="3" t="s">
        <v>50</v>
      </c>
      <c r="K19" s="4" t="n">
        <f aca="false">MAX(DATE(2026,10,17),L19-30)</f>
        <v>46394</v>
      </c>
      <c r="L19" s="4" t="n">
        <v>46424</v>
      </c>
      <c r="M19" s="4" t="n">
        <v>46430</v>
      </c>
      <c r="N19" s="3" t="s">
        <v>155</v>
      </c>
      <c r="O19" s="2" t="s">
        <v>156</v>
      </c>
      <c r="P19" s="3" t="s">
        <v>61</v>
      </c>
      <c r="Q19" s="3" t="n">
        <f aca="false">LEN(H19)</f>
        <v>91</v>
      </c>
      <c r="R19" s="3" t="s">
        <v>157</v>
      </c>
    </row>
    <row r="20" customFormat="false" ht="44" hidden="false" customHeight="false" outlineLevel="0" collapsed="false">
      <c r="A20" s="3" t="n">
        <f aca="false">MONTH(L20)</f>
        <v>2</v>
      </c>
      <c r="B20" s="3" t="s">
        <v>18</v>
      </c>
      <c r="C20" s="3" t="s">
        <v>19</v>
      </c>
      <c r="D20" s="2" t="s">
        <v>71</v>
      </c>
      <c r="E20" s="3" t="s">
        <v>158</v>
      </c>
      <c r="F20" s="3"/>
      <c r="G20" s="3" t="s">
        <v>159</v>
      </c>
      <c r="H20" s="3" t="s">
        <v>160</v>
      </c>
      <c r="I20" s="3" t="s">
        <v>161</v>
      </c>
      <c r="J20" s="3" t="s">
        <v>25</v>
      </c>
      <c r="K20" s="4" t="n">
        <f aca="false">MAX(DATE(2026,10,17),L20-30)</f>
        <v>46397</v>
      </c>
      <c r="L20" s="4" t="n">
        <v>46427</v>
      </c>
      <c r="M20" s="4" t="n">
        <v>46427</v>
      </c>
      <c r="N20" s="3" t="s">
        <v>162</v>
      </c>
      <c r="O20" s="2" t="s">
        <v>163</v>
      </c>
      <c r="P20" s="3" t="s">
        <v>78</v>
      </c>
      <c r="Q20" s="3" t="n">
        <f aca="false">LEN(H20)</f>
        <v>90</v>
      </c>
      <c r="R20" s="3" t="s">
        <v>164</v>
      </c>
    </row>
    <row r="21" customFormat="false" ht="29.85" hidden="false" customHeight="false" outlineLevel="0" collapsed="false">
      <c r="A21" s="3" t="n">
        <f aca="false">MONTH(L21)</f>
        <v>2</v>
      </c>
      <c r="B21" s="3" t="s">
        <v>18</v>
      </c>
      <c r="C21" s="3" t="s">
        <v>19</v>
      </c>
      <c r="D21" s="2" t="s">
        <v>165</v>
      </c>
      <c r="E21" s="3" t="s">
        <v>166</v>
      </c>
      <c r="F21" s="3"/>
      <c r="G21" s="3" t="s">
        <v>167</v>
      </c>
      <c r="H21" s="3" t="s">
        <v>168</v>
      </c>
      <c r="I21" s="3" t="s">
        <v>169</v>
      </c>
      <c r="J21" s="3" t="s">
        <v>25</v>
      </c>
      <c r="K21" s="4" t="n">
        <f aca="false">MAX(DATE(2026,10,17),L21-30)</f>
        <v>46408</v>
      </c>
      <c r="L21" s="4" t="n">
        <v>46438</v>
      </c>
      <c r="M21" s="4" t="n">
        <v>46438</v>
      </c>
      <c r="N21" s="3" t="s">
        <v>170</v>
      </c>
      <c r="O21" s="2" t="s">
        <v>171</v>
      </c>
      <c r="P21" s="3" t="s">
        <v>61</v>
      </c>
      <c r="Q21" s="3" t="n">
        <f aca="false">LEN(H21)</f>
        <v>63</v>
      </c>
      <c r="R21" s="3" t="s">
        <v>172</v>
      </c>
    </row>
    <row r="22" customFormat="false" ht="29.85" hidden="false" customHeight="false" outlineLevel="0" collapsed="false">
      <c r="A22" s="3" t="n">
        <f aca="false">MONTH(L22)</f>
        <v>3</v>
      </c>
      <c r="B22" s="3" t="s">
        <v>18</v>
      </c>
      <c r="C22" s="3" t="s">
        <v>19</v>
      </c>
      <c r="D22" s="2" t="s">
        <v>173</v>
      </c>
      <c r="E22" s="3" t="s">
        <v>174</v>
      </c>
      <c r="F22" s="3"/>
      <c r="G22" s="3" t="s">
        <v>175</v>
      </c>
      <c r="H22" s="3" t="s">
        <v>176</v>
      </c>
      <c r="I22" s="3" t="s">
        <v>177</v>
      </c>
      <c r="J22" s="3" t="s">
        <v>25</v>
      </c>
      <c r="K22" s="4" t="n">
        <f aca="false">MAX(DATE(2026,10,17),L22-30)</f>
        <v>46431</v>
      </c>
      <c r="L22" s="4" t="n">
        <v>46461</v>
      </c>
      <c r="M22" s="4" t="n">
        <v>46465</v>
      </c>
      <c r="N22" s="3" t="s">
        <v>178</v>
      </c>
      <c r="O22" s="2" t="s">
        <v>179</v>
      </c>
      <c r="P22" s="3" t="s">
        <v>37</v>
      </c>
      <c r="Q22" s="3" t="n">
        <f aca="false">LEN(H22)</f>
        <v>78</v>
      </c>
      <c r="R22" s="3"/>
    </row>
    <row r="23" customFormat="false" ht="29.85" hidden="false" customHeight="false" outlineLevel="0" collapsed="false">
      <c r="A23" s="3" t="n">
        <f aca="false">MONTH(L23)</f>
        <v>3</v>
      </c>
      <c r="B23" s="3" t="s">
        <v>18</v>
      </c>
      <c r="C23" s="3" t="s">
        <v>19</v>
      </c>
      <c r="D23" s="2" t="s">
        <v>180</v>
      </c>
      <c r="E23" s="3" t="s">
        <v>181</v>
      </c>
      <c r="F23" s="3"/>
      <c r="G23" s="3" t="s">
        <v>182</v>
      </c>
      <c r="H23" s="2" t="s">
        <v>183</v>
      </c>
      <c r="I23" s="3" t="s">
        <v>184</v>
      </c>
      <c r="J23" s="3" t="s">
        <v>25</v>
      </c>
      <c r="K23" s="4" t="n">
        <f aca="false">MAX(DATE(2026,10,17),L23-30)</f>
        <v>46432</v>
      </c>
      <c r="L23" s="4" t="n">
        <v>46462</v>
      </c>
      <c r="M23" s="4" t="n">
        <v>46465</v>
      </c>
      <c r="N23" s="3" t="s">
        <v>185</v>
      </c>
      <c r="O23" s="2" t="s">
        <v>186</v>
      </c>
      <c r="P23" s="3" t="s">
        <v>61</v>
      </c>
      <c r="Q23" s="3" t="n">
        <f aca="false">LEN(H23)</f>
        <v>67</v>
      </c>
      <c r="R23" s="3" t="s">
        <v>187</v>
      </c>
    </row>
    <row r="24" customFormat="false" ht="29.85" hidden="false" customHeight="false" outlineLevel="0" collapsed="false">
      <c r="A24" s="3" t="n">
        <f aca="false">MONTH(L24)</f>
        <v>3</v>
      </c>
      <c r="B24" s="3" t="s">
        <v>18</v>
      </c>
      <c r="C24" s="3" t="s">
        <v>19</v>
      </c>
      <c r="D24" s="2" t="s">
        <v>188</v>
      </c>
      <c r="E24" s="3" t="s">
        <v>189</v>
      </c>
      <c r="F24" s="3"/>
      <c r="G24" s="3" t="s">
        <v>190</v>
      </c>
      <c r="H24" s="3" t="s">
        <v>191</v>
      </c>
      <c r="I24" s="3" t="s">
        <v>192</v>
      </c>
      <c r="J24" s="3" t="s">
        <v>25</v>
      </c>
      <c r="K24" s="4" t="n">
        <f aca="false">MAX(DATE(2026,10,17),L24-30)</f>
        <v>46434</v>
      </c>
      <c r="L24" s="4" t="n">
        <v>46464</v>
      </c>
      <c r="M24" s="4" t="n">
        <v>46516</v>
      </c>
      <c r="N24" s="3" t="s">
        <v>193</v>
      </c>
      <c r="O24" s="2" t="s">
        <v>194</v>
      </c>
      <c r="P24" s="3" t="s">
        <v>61</v>
      </c>
      <c r="Q24" s="3" t="n">
        <f aca="false">LEN(H24)</f>
        <v>72</v>
      </c>
      <c r="R24" s="3" t="s">
        <v>114</v>
      </c>
    </row>
    <row r="25" customFormat="false" ht="29.85" hidden="false" customHeight="false" outlineLevel="0" collapsed="false">
      <c r="A25" s="3" t="n">
        <f aca="false">MONTH(L25)</f>
        <v>3</v>
      </c>
      <c r="B25" s="3" t="s">
        <v>18</v>
      </c>
      <c r="C25" s="3" t="s">
        <v>19</v>
      </c>
      <c r="D25" s="2" t="s">
        <v>71</v>
      </c>
      <c r="E25" s="3" t="s">
        <v>195</v>
      </c>
      <c r="F25" s="3"/>
      <c r="G25" s="3" t="s">
        <v>196</v>
      </c>
      <c r="H25" s="3" t="s">
        <v>197</v>
      </c>
      <c r="I25" s="3" t="s">
        <v>198</v>
      </c>
      <c r="J25" s="3" t="s">
        <v>25</v>
      </c>
      <c r="K25" s="4" t="n">
        <f aca="false">MAX(DATE(2026,10,17),L25-30)</f>
        <v>46436</v>
      </c>
      <c r="L25" s="4" t="n">
        <v>46466</v>
      </c>
      <c r="M25" s="4" t="n">
        <v>46488</v>
      </c>
      <c r="N25" s="3" t="s">
        <v>199</v>
      </c>
      <c r="O25" s="2" t="s">
        <v>200</v>
      </c>
      <c r="P25" s="3" t="s">
        <v>61</v>
      </c>
      <c r="Q25" s="3" t="n">
        <f aca="false">LEN(H25)</f>
        <v>79</v>
      </c>
      <c r="R25" s="3" t="s">
        <v>120</v>
      </c>
    </row>
    <row r="26" customFormat="false" ht="29.85" hidden="false" customHeight="false" outlineLevel="0" collapsed="false">
      <c r="A26" s="3" t="n">
        <f aca="false">MONTH(L26)</f>
        <v>3</v>
      </c>
      <c r="B26" s="3" t="s">
        <v>18</v>
      </c>
      <c r="C26" s="3" t="s">
        <v>19</v>
      </c>
      <c r="D26" s="2" t="s">
        <v>20</v>
      </c>
      <c r="E26" s="3" t="s">
        <v>201</v>
      </c>
      <c r="F26" s="3"/>
      <c r="G26" s="3" t="s">
        <v>202</v>
      </c>
      <c r="H26" s="3" t="s">
        <v>203</v>
      </c>
      <c r="I26" s="3" t="s">
        <v>204</v>
      </c>
      <c r="J26" s="3" t="s">
        <v>25</v>
      </c>
      <c r="K26" s="4" t="n">
        <f aca="false">MAX(DATE(2026,10,17),L26-30)</f>
        <v>46436</v>
      </c>
      <c r="L26" s="4" t="n">
        <v>46466</v>
      </c>
      <c r="M26" s="4" t="n">
        <v>46487</v>
      </c>
      <c r="N26" s="3" t="s">
        <v>205</v>
      </c>
      <c r="O26" s="2" t="s">
        <v>206</v>
      </c>
      <c r="P26" s="3" t="s">
        <v>61</v>
      </c>
      <c r="Q26" s="3" t="n">
        <f aca="false">LEN(H26)</f>
        <v>76</v>
      </c>
      <c r="R26" s="3" t="s">
        <v>207</v>
      </c>
    </row>
    <row r="27" customFormat="false" ht="29.85" hidden="false" customHeight="false" outlineLevel="0" collapsed="false">
      <c r="A27" s="3" t="n">
        <f aca="false">MONTH(L27)</f>
        <v>3</v>
      </c>
      <c r="B27" s="3" t="s">
        <v>18</v>
      </c>
      <c r="C27" s="3" t="s">
        <v>19</v>
      </c>
      <c r="D27" s="2" t="s">
        <v>45</v>
      </c>
      <c r="E27" s="3" t="s">
        <v>208</v>
      </c>
      <c r="F27" s="3"/>
      <c r="G27" s="3" t="s">
        <v>209</v>
      </c>
      <c r="H27" s="3" t="s">
        <v>210</v>
      </c>
      <c r="I27" s="3" t="s">
        <v>211</v>
      </c>
      <c r="J27" s="3" t="s">
        <v>25</v>
      </c>
      <c r="K27" s="4" t="n">
        <f aca="false">MAX(DATE(2026,10,17),L27-30)</f>
        <v>46438</v>
      </c>
      <c r="L27" s="4" t="n">
        <v>46468</v>
      </c>
      <c r="M27" s="4" t="n">
        <v>46468</v>
      </c>
      <c r="N27" s="3" t="s">
        <v>51</v>
      </c>
      <c r="O27" s="2" t="s">
        <v>52</v>
      </c>
      <c r="P27" s="3" t="s">
        <v>61</v>
      </c>
      <c r="Q27" s="3" t="n">
        <f aca="false">LEN(H27)</f>
        <v>66</v>
      </c>
      <c r="R27" s="3" t="s">
        <v>212</v>
      </c>
    </row>
    <row r="28" customFormat="false" ht="29.85" hidden="false" customHeight="false" outlineLevel="0" collapsed="false">
      <c r="A28" s="3" t="n">
        <f aca="false">MONTH(L28)</f>
        <v>4</v>
      </c>
      <c r="B28" s="3" t="s">
        <v>18</v>
      </c>
      <c r="C28" s="3" t="s">
        <v>19</v>
      </c>
      <c r="D28" s="2" t="s">
        <v>71</v>
      </c>
      <c r="E28" s="3" t="s">
        <v>213</v>
      </c>
      <c r="F28" s="3"/>
      <c r="G28" s="3" t="s">
        <v>214</v>
      </c>
      <c r="H28" s="3" t="s">
        <v>215</v>
      </c>
      <c r="I28" s="3" t="s">
        <v>216</v>
      </c>
      <c r="J28" s="3" t="s">
        <v>25</v>
      </c>
      <c r="K28" s="4" t="n">
        <f aca="false">MAX(DATE(2026,10,17),L28-30)</f>
        <v>46456</v>
      </c>
      <c r="L28" s="4" t="n">
        <v>46486</v>
      </c>
      <c r="M28" s="4" t="n">
        <v>46495</v>
      </c>
      <c r="N28" s="3" t="s">
        <v>217</v>
      </c>
      <c r="O28" s="2" t="s">
        <v>218</v>
      </c>
      <c r="P28" s="3" t="s">
        <v>61</v>
      </c>
      <c r="Q28" s="3" t="n">
        <f aca="false">LEN(H28)</f>
        <v>68</v>
      </c>
      <c r="R28" s="3" t="s">
        <v>219</v>
      </c>
    </row>
    <row r="29" customFormat="false" ht="44" hidden="false" customHeight="false" outlineLevel="0" collapsed="false">
      <c r="A29" s="3" t="n">
        <f aca="false">MONTH(L29)</f>
        <v>4</v>
      </c>
      <c r="B29" s="3" t="s">
        <v>18</v>
      </c>
      <c r="C29" s="3" t="s">
        <v>19</v>
      </c>
      <c r="D29" s="2" t="s">
        <v>63</v>
      </c>
      <c r="E29" s="3" t="s">
        <v>64</v>
      </c>
      <c r="F29" s="3"/>
      <c r="G29" s="3" t="s">
        <v>220</v>
      </c>
      <c r="H29" s="3" t="s">
        <v>221</v>
      </c>
      <c r="I29" s="3" t="s">
        <v>222</v>
      </c>
      <c r="J29" s="3" t="s">
        <v>50</v>
      </c>
      <c r="K29" s="4" t="n">
        <f aca="false">MAX(DATE(2026,10,17),L29-30)</f>
        <v>46460</v>
      </c>
      <c r="L29" s="4" t="n">
        <v>46490</v>
      </c>
      <c r="M29" s="4" t="n">
        <v>46492</v>
      </c>
      <c r="N29" s="3" t="s">
        <v>68</v>
      </c>
      <c r="O29" s="2" t="s">
        <v>69</v>
      </c>
      <c r="P29" s="3" t="s">
        <v>37</v>
      </c>
      <c r="Q29" s="3" t="n">
        <f aca="false">LEN(H29)</f>
        <v>96</v>
      </c>
      <c r="R29" s="3"/>
    </row>
    <row r="30" customFormat="false" ht="44" hidden="false" customHeight="false" outlineLevel="0" collapsed="false">
      <c r="A30" s="3" t="n">
        <f aca="false">MONTH(L30)</f>
        <v>4</v>
      </c>
      <c r="B30" s="3" t="s">
        <v>18</v>
      </c>
      <c r="C30" s="3" t="s">
        <v>19</v>
      </c>
      <c r="D30" s="2" t="s">
        <v>173</v>
      </c>
      <c r="E30" s="3" t="s">
        <v>223</v>
      </c>
      <c r="F30" s="3"/>
      <c r="G30" s="3" t="s">
        <v>224</v>
      </c>
      <c r="H30" s="3" t="s">
        <v>225</v>
      </c>
      <c r="I30" s="3" t="s">
        <v>226</v>
      </c>
      <c r="J30" s="3" t="s">
        <v>25</v>
      </c>
      <c r="K30" s="4" t="n">
        <f aca="false">MAX(DATE(2026,10,17),L30-30)</f>
        <v>46460</v>
      </c>
      <c r="L30" s="4" t="n">
        <v>46490</v>
      </c>
      <c r="M30" s="4" t="n">
        <v>46495</v>
      </c>
      <c r="N30" s="3" t="s">
        <v>227</v>
      </c>
      <c r="O30" s="2" t="s">
        <v>228</v>
      </c>
      <c r="P30" s="3" t="s">
        <v>61</v>
      </c>
      <c r="Q30" s="3" t="n">
        <f aca="false">LEN(H30)</f>
        <v>86</v>
      </c>
      <c r="R30" s="3" t="s">
        <v>229</v>
      </c>
    </row>
    <row r="31" customFormat="false" ht="29.85" hidden="false" customHeight="false" outlineLevel="0" collapsed="false">
      <c r="A31" s="3" t="n">
        <f aca="false">MONTH(L31)</f>
        <v>4</v>
      </c>
      <c r="B31" s="3" t="s">
        <v>18</v>
      </c>
      <c r="C31" s="3" t="s">
        <v>19</v>
      </c>
      <c r="D31" s="2" t="s">
        <v>188</v>
      </c>
      <c r="E31" s="3" t="s">
        <v>230</v>
      </c>
      <c r="F31" s="3"/>
      <c r="G31" s="3" t="s">
        <v>231</v>
      </c>
      <c r="H31" s="3" t="s">
        <v>232</v>
      </c>
      <c r="I31" s="3" t="s">
        <v>233</v>
      </c>
      <c r="J31" s="3" t="s">
        <v>25</v>
      </c>
      <c r="K31" s="4" t="n">
        <f aca="false">MAX(DATE(2026,10,17),L31-30)</f>
        <v>46474</v>
      </c>
      <c r="L31" s="4" t="n">
        <v>46504</v>
      </c>
      <c r="M31" s="4" t="n">
        <v>46504</v>
      </c>
      <c r="N31" s="3" t="s">
        <v>234</v>
      </c>
      <c r="O31" s="2" t="s">
        <v>235</v>
      </c>
      <c r="P31" s="3" t="s">
        <v>37</v>
      </c>
      <c r="Q31" s="3" t="n">
        <f aca="false">LEN(H31)</f>
        <v>74</v>
      </c>
      <c r="R31" s="3"/>
    </row>
    <row r="32" customFormat="false" ht="29.85" hidden="false" customHeight="false" outlineLevel="0" collapsed="false">
      <c r="A32" s="3" t="n">
        <f aca="false">MONTH(L32)</f>
        <v>5</v>
      </c>
      <c r="B32" s="3" t="s">
        <v>18</v>
      </c>
      <c r="C32" s="3" t="s">
        <v>19</v>
      </c>
      <c r="D32" s="2" t="s">
        <v>236</v>
      </c>
      <c r="E32" s="3" t="s">
        <v>237</v>
      </c>
      <c r="F32" s="3"/>
      <c r="G32" s="3" t="s">
        <v>238</v>
      </c>
      <c r="H32" s="3" t="s">
        <v>239</v>
      </c>
      <c r="I32" s="3" t="s">
        <v>240</v>
      </c>
      <c r="J32" s="3" t="s">
        <v>25</v>
      </c>
      <c r="K32" s="4" t="n">
        <f aca="false">MAX(DATE(2026,10,17),L32-30)</f>
        <v>46488</v>
      </c>
      <c r="L32" s="4" t="n">
        <v>46518</v>
      </c>
      <c r="M32" s="4" t="n">
        <v>46529</v>
      </c>
      <c r="N32" s="3" t="s">
        <v>241</v>
      </c>
      <c r="O32" s="2" t="s">
        <v>242</v>
      </c>
      <c r="P32" s="3" t="s">
        <v>61</v>
      </c>
      <c r="Q32" s="3" t="n">
        <f aca="false">LEN(H32)</f>
        <v>67</v>
      </c>
      <c r="R32" s="3" t="s">
        <v>219</v>
      </c>
    </row>
    <row r="33" customFormat="false" ht="29.85" hidden="false" customHeight="false" outlineLevel="0" collapsed="false">
      <c r="A33" s="3" t="n">
        <f aca="false">MONTH(L33)</f>
        <v>5</v>
      </c>
      <c r="B33" s="3" t="s">
        <v>18</v>
      </c>
      <c r="C33" s="3" t="s">
        <v>19</v>
      </c>
      <c r="D33" s="2" t="s">
        <v>20</v>
      </c>
      <c r="E33" s="3" t="s">
        <v>243</v>
      </c>
      <c r="F33" s="3"/>
      <c r="G33" s="3" t="s">
        <v>244</v>
      </c>
      <c r="H33" s="3" t="s">
        <v>245</v>
      </c>
      <c r="I33" s="3" t="s">
        <v>246</v>
      </c>
      <c r="J33" s="3" t="s">
        <v>25</v>
      </c>
      <c r="K33" s="4" t="n">
        <f aca="false">MAX(DATE(2026,10,17),L33-30)</f>
        <v>46491</v>
      </c>
      <c r="L33" s="4" t="n">
        <v>46521</v>
      </c>
      <c r="M33" s="4" t="n">
        <v>46523</v>
      </c>
      <c r="N33" s="3" t="s">
        <v>247</v>
      </c>
      <c r="O33" s="2" t="s">
        <v>248</v>
      </c>
      <c r="P33" s="3" t="s">
        <v>61</v>
      </c>
      <c r="Q33" s="3" t="n">
        <f aca="false">LEN(H33)</f>
        <v>77</v>
      </c>
      <c r="R33" s="3" t="s">
        <v>249</v>
      </c>
    </row>
    <row r="34" customFormat="false" ht="29.85" hidden="false" customHeight="false" outlineLevel="0" collapsed="false">
      <c r="A34" s="3" t="n">
        <f aca="false">MONTH(L34)</f>
        <v>5</v>
      </c>
      <c r="B34" s="3" t="s">
        <v>18</v>
      </c>
      <c r="C34" s="3" t="s">
        <v>19</v>
      </c>
      <c r="D34" s="2" t="s">
        <v>20</v>
      </c>
      <c r="E34" s="3" t="s">
        <v>21</v>
      </c>
      <c r="F34" s="3"/>
      <c r="G34" s="3" t="s">
        <v>250</v>
      </c>
      <c r="H34" s="3" t="s">
        <v>251</v>
      </c>
      <c r="I34" s="3" t="s">
        <v>252</v>
      </c>
      <c r="J34" s="3" t="s">
        <v>25</v>
      </c>
      <c r="K34" s="4" t="n">
        <f aca="false">MAX(DATE(2026,10,17),L34-30)</f>
        <v>46492</v>
      </c>
      <c r="L34" s="4" t="n">
        <v>46522</v>
      </c>
      <c r="M34" s="4" t="n">
        <v>46523</v>
      </c>
      <c r="N34" s="3" t="s">
        <v>253</v>
      </c>
      <c r="O34" s="2" t="s">
        <v>27</v>
      </c>
      <c r="P34" s="3" t="s">
        <v>37</v>
      </c>
      <c r="Q34" s="3" t="n">
        <f aca="false">LEN(H34)</f>
        <v>69</v>
      </c>
      <c r="R34" s="2" t="s">
        <v>254</v>
      </c>
    </row>
    <row r="35" customFormat="false" ht="29.85" hidden="false" customHeight="false" outlineLevel="0" collapsed="false">
      <c r="A35" s="3" t="n">
        <f aca="false">MONTH(L35)</f>
        <v>5</v>
      </c>
      <c r="B35" s="3" t="s">
        <v>18</v>
      </c>
      <c r="C35" s="3" t="s">
        <v>19</v>
      </c>
      <c r="D35" s="2" t="s">
        <v>38</v>
      </c>
      <c r="E35" s="3" t="s">
        <v>255</v>
      </c>
      <c r="F35" s="3"/>
      <c r="G35" s="3" t="s">
        <v>256</v>
      </c>
      <c r="H35" s="3" t="s">
        <v>257</v>
      </c>
      <c r="I35" s="3" t="s">
        <v>258</v>
      </c>
      <c r="J35" s="3" t="s">
        <v>25</v>
      </c>
      <c r="K35" s="4" t="n">
        <f aca="false">MAX(DATE(2026,10,17),L35-30)</f>
        <v>46495</v>
      </c>
      <c r="L35" s="4" t="n">
        <v>46525</v>
      </c>
      <c r="M35" s="4" t="n">
        <v>46529</v>
      </c>
      <c r="N35" s="3" t="s">
        <v>259</v>
      </c>
      <c r="O35" s="2" t="s">
        <v>260</v>
      </c>
      <c r="P35" s="3" t="s">
        <v>61</v>
      </c>
      <c r="Q35" s="3" t="n">
        <f aca="false">LEN(H35)</f>
        <v>78</v>
      </c>
      <c r="R35" s="3" t="s">
        <v>219</v>
      </c>
    </row>
    <row r="36" customFormat="false" ht="29.85" hidden="false" customHeight="false" outlineLevel="0" collapsed="false">
      <c r="A36" s="3" t="n">
        <f aca="false">MONTH(L36)</f>
        <v>6</v>
      </c>
      <c r="B36" s="3" t="s">
        <v>18</v>
      </c>
      <c r="C36" s="3" t="s">
        <v>19</v>
      </c>
      <c r="D36" s="2" t="s">
        <v>150</v>
      </c>
      <c r="E36" s="3" t="s">
        <v>151</v>
      </c>
      <c r="F36" s="3"/>
      <c r="G36" s="3" t="s">
        <v>261</v>
      </c>
      <c r="H36" s="3" t="s">
        <v>262</v>
      </c>
      <c r="I36" s="3" t="s">
        <v>263</v>
      </c>
      <c r="J36" s="3" t="s">
        <v>25</v>
      </c>
      <c r="K36" s="4" t="n">
        <f aca="false">MAX(DATE(2026,10,17),L36-30)</f>
        <v>46517</v>
      </c>
      <c r="L36" s="4" t="n">
        <v>46547</v>
      </c>
      <c r="M36" s="4" t="n">
        <v>46547</v>
      </c>
      <c r="N36" s="3" t="s">
        <v>155</v>
      </c>
      <c r="O36" s="2" t="s">
        <v>156</v>
      </c>
      <c r="P36" s="3" t="s">
        <v>61</v>
      </c>
      <c r="Q36" s="3" t="n">
        <f aca="false">LEN(H36)</f>
        <v>74</v>
      </c>
      <c r="R36" s="3" t="s">
        <v>264</v>
      </c>
    </row>
    <row r="37" customFormat="false" ht="29.85" hidden="false" customHeight="false" outlineLevel="0" collapsed="false">
      <c r="A37" s="3" t="n">
        <f aca="false">MONTH(L37)</f>
        <v>6</v>
      </c>
      <c r="B37" s="3" t="s">
        <v>18</v>
      </c>
      <c r="C37" s="3" t="s">
        <v>19</v>
      </c>
      <c r="D37" s="2" t="s">
        <v>265</v>
      </c>
      <c r="E37" s="3" t="s">
        <v>266</v>
      </c>
      <c r="F37" s="3"/>
      <c r="G37" s="3" t="s">
        <v>267</v>
      </c>
      <c r="H37" s="3" t="s">
        <v>268</v>
      </c>
      <c r="I37" s="3" t="s">
        <v>269</v>
      </c>
      <c r="J37" s="3" t="s">
        <v>25</v>
      </c>
      <c r="K37" s="4" t="n">
        <f aca="false">MAX(DATE(2026,10,17),L37-30)</f>
        <v>46520</v>
      </c>
      <c r="L37" s="4" t="n">
        <v>46550</v>
      </c>
      <c r="M37" s="4" t="n">
        <v>46551</v>
      </c>
      <c r="N37" s="3" t="s">
        <v>270</v>
      </c>
      <c r="O37" s="2" t="s">
        <v>271</v>
      </c>
      <c r="P37" s="3" t="s">
        <v>37</v>
      </c>
      <c r="Q37" s="3" t="n">
        <f aca="false">LEN(H37)</f>
        <v>62</v>
      </c>
      <c r="R37" s="3"/>
    </row>
    <row r="38" customFormat="false" ht="29.85" hidden="false" customHeight="false" outlineLevel="0" collapsed="false">
      <c r="A38" s="3" t="n">
        <f aca="false">MONTH(L38)</f>
        <v>6</v>
      </c>
      <c r="B38" s="3" t="s">
        <v>18</v>
      </c>
      <c r="C38" s="3" t="s">
        <v>19</v>
      </c>
      <c r="D38" s="2" t="s">
        <v>265</v>
      </c>
      <c r="E38" s="3" t="s">
        <v>272</v>
      </c>
      <c r="F38" s="3"/>
      <c r="G38" s="3" t="s">
        <v>273</v>
      </c>
      <c r="H38" s="3" t="s">
        <v>274</v>
      </c>
      <c r="I38" s="3" t="s">
        <v>275</v>
      </c>
      <c r="J38" s="3" t="s">
        <v>25</v>
      </c>
      <c r="K38" s="4" t="n">
        <f aca="false">MAX(DATE(2026,10,17),L38-30)</f>
        <v>46531</v>
      </c>
      <c r="L38" s="4" t="n">
        <v>46561</v>
      </c>
      <c r="M38" s="4" t="n">
        <v>46562</v>
      </c>
      <c r="N38" s="3" t="s">
        <v>276</v>
      </c>
      <c r="O38" s="2" t="s">
        <v>277</v>
      </c>
      <c r="P38" s="3" t="s">
        <v>37</v>
      </c>
      <c r="Q38" s="3" t="n">
        <f aca="false">LEN(H38)</f>
        <v>58</v>
      </c>
      <c r="R38" s="3"/>
    </row>
    <row r="39" customFormat="false" ht="29.85" hidden="false" customHeight="false" outlineLevel="0" collapsed="false">
      <c r="A39" s="3" t="n">
        <f aca="false">MONTH(L39)</f>
        <v>6</v>
      </c>
      <c r="B39" s="3" t="s">
        <v>18</v>
      </c>
      <c r="C39" s="3" t="s">
        <v>19</v>
      </c>
      <c r="D39" s="2" t="s">
        <v>129</v>
      </c>
      <c r="E39" s="3" t="s">
        <v>278</v>
      </c>
      <c r="F39" s="3"/>
      <c r="G39" s="3" t="s">
        <v>279</v>
      </c>
      <c r="H39" s="3" t="s">
        <v>280</v>
      </c>
      <c r="I39" s="3" t="s">
        <v>281</v>
      </c>
      <c r="J39" s="3" t="s">
        <v>25</v>
      </c>
      <c r="K39" s="4" t="n">
        <f aca="false">MAX(DATE(2026,10,17),L39-30)</f>
        <v>46532</v>
      </c>
      <c r="L39" s="4" t="n">
        <v>46562</v>
      </c>
      <c r="M39" s="4" t="n">
        <v>46571</v>
      </c>
      <c r="N39" s="3" t="s">
        <v>282</v>
      </c>
      <c r="O39" s="2" t="s">
        <v>283</v>
      </c>
      <c r="P39" s="3" t="s">
        <v>61</v>
      </c>
      <c r="Q39" s="3" t="n">
        <f aca="false">LEN(H39)</f>
        <v>63</v>
      </c>
      <c r="R39" s="3" t="s">
        <v>219</v>
      </c>
    </row>
    <row r="40" customFormat="false" ht="29.85" hidden="false" customHeight="false" outlineLevel="0" collapsed="false">
      <c r="A40" s="3" t="n">
        <f aca="false">MONTH(L40)</f>
        <v>6</v>
      </c>
      <c r="B40" s="3" t="s">
        <v>18</v>
      </c>
      <c r="C40" s="3" t="s">
        <v>19</v>
      </c>
      <c r="D40" s="2" t="s">
        <v>87</v>
      </c>
      <c r="E40" s="3" t="s">
        <v>88</v>
      </c>
      <c r="F40" s="3"/>
      <c r="G40" s="3" t="s">
        <v>284</v>
      </c>
      <c r="H40" s="3" t="s">
        <v>285</v>
      </c>
      <c r="I40" s="3" t="s">
        <v>286</v>
      </c>
      <c r="J40" s="3" t="s">
        <v>25</v>
      </c>
      <c r="K40" s="4" t="n">
        <f aca="false">MAX(DATE(2026,10,17),L40-30)</f>
        <v>46533</v>
      </c>
      <c r="L40" s="4" t="n">
        <v>46563</v>
      </c>
      <c r="M40" s="4" t="n">
        <v>46564</v>
      </c>
      <c r="N40" s="3" t="s">
        <v>92</v>
      </c>
      <c r="O40" s="2" t="s">
        <v>93</v>
      </c>
      <c r="P40" s="3" t="s">
        <v>78</v>
      </c>
      <c r="Q40" s="3" t="n">
        <f aca="false">LEN(H40)</f>
        <v>83</v>
      </c>
      <c r="R40" s="2" t="s">
        <v>287</v>
      </c>
    </row>
    <row r="41" customFormat="false" ht="29.85" hidden="false" customHeight="false" outlineLevel="0" collapsed="false">
      <c r="A41" s="3" t="n">
        <f aca="false">MONTH(L41)</f>
        <v>7</v>
      </c>
      <c r="B41" s="3" t="s">
        <v>18</v>
      </c>
      <c r="C41" s="3" t="s">
        <v>19</v>
      </c>
      <c r="D41" s="2" t="s">
        <v>20</v>
      </c>
      <c r="E41" s="3" t="s">
        <v>21</v>
      </c>
      <c r="F41" s="3"/>
      <c r="G41" s="3" t="s">
        <v>288</v>
      </c>
      <c r="H41" s="3" t="s">
        <v>289</v>
      </c>
      <c r="I41" s="3" t="s">
        <v>290</v>
      </c>
      <c r="J41" s="3" t="s">
        <v>25</v>
      </c>
      <c r="K41" s="4" t="n">
        <f aca="false">MAX(DATE(2026,10,17),L41-30)</f>
        <v>46539</v>
      </c>
      <c r="L41" s="4" t="n">
        <v>46569</v>
      </c>
      <c r="M41" s="4" t="n">
        <v>46599</v>
      </c>
      <c r="N41" s="3" t="s">
        <v>253</v>
      </c>
      <c r="O41" s="2" t="s">
        <v>27</v>
      </c>
      <c r="P41" s="3" t="s">
        <v>37</v>
      </c>
      <c r="Q41" s="3" t="n">
        <f aca="false">LEN(H41)</f>
        <v>66</v>
      </c>
      <c r="R41" s="3" t="s">
        <v>291</v>
      </c>
    </row>
    <row r="42" customFormat="false" ht="29.85" hidden="false" customHeight="false" outlineLevel="0" collapsed="false">
      <c r="A42" s="3" t="n">
        <f aca="false">MONTH(L42)</f>
        <v>7</v>
      </c>
      <c r="B42" s="3" t="s">
        <v>18</v>
      </c>
      <c r="C42" s="3" t="s">
        <v>19</v>
      </c>
      <c r="D42" s="2" t="s">
        <v>292</v>
      </c>
      <c r="E42" s="3" t="s">
        <v>293</v>
      </c>
      <c r="F42" s="3"/>
      <c r="G42" s="3" t="s">
        <v>294</v>
      </c>
      <c r="H42" s="3" t="s">
        <v>295</v>
      </c>
      <c r="I42" s="3" t="s">
        <v>296</v>
      </c>
      <c r="J42" s="3" t="s">
        <v>25</v>
      </c>
      <c r="K42" s="4" t="n">
        <f aca="false">MAX(DATE(2026,10,17),L42-30)</f>
        <v>46540</v>
      </c>
      <c r="L42" s="4" t="n">
        <v>46570</v>
      </c>
      <c r="M42" s="4" t="n">
        <v>46585</v>
      </c>
      <c r="N42" s="3" t="s">
        <v>297</v>
      </c>
      <c r="O42" s="2" t="s">
        <v>298</v>
      </c>
      <c r="P42" s="3" t="s">
        <v>61</v>
      </c>
      <c r="Q42" s="3" t="n">
        <f aca="false">LEN(H42)</f>
        <v>58</v>
      </c>
      <c r="R42" s="3" t="s">
        <v>219</v>
      </c>
    </row>
    <row r="43" customFormat="false" ht="29.85" hidden="false" customHeight="false" outlineLevel="0" collapsed="false">
      <c r="A43" s="3" t="n">
        <f aca="false">MONTH(L43)</f>
        <v>7</v>
      </c>
      <c r="B43" s="3" t="s">
        <v>18</v>
      </c>
      <c r="C43" s="3" t="s">
        <v>19</v>
      </c>
      <c r="D43" s="2" t="s">
        <v>173</v>
      </c>
      <c r="E43" s="3" t="s">
        <v>299</v>
      </c>
      <c r="F43" s="3"/>
      <c r="G43" s="3" t="s">
        <v>300</v>
      </c>
      <c r="H43" s="3" t="s">
        <v>301</v>
      </c>
      <c r="I43" s="3" t="s">
        <v>302</v>
      </c>
      <c r="J43" s="3" t="s">
        <v>50</v>
      </c>
      <c r="K43" s="4" t="n">
        <f aca="false">MAX(DATE(2026,10,17),L43-30)</f>
        <v>46544</v>
      </c>
      <c r="L43" s="4" t="n">
        <v>46574</v>
      </c>
      <c r="M43" s="4" t="n">
        <v>46582</v>
      </c>
      <c r="N43" s="3" t="s">
        <v>303</v>
      </c>
      <c r="O43" s="2" t="s">
        <v>304</v>
      </c>
      <c r="P43" s="3" t="s">
        <v>37</v>
      </c>
      <c r="Q43" s="3" t="n">
        <f aca="false">LEN(H43)</f>
        <v>73</v>
      </c>
      <c r="R43" s="3"/>
    </row>
    <row r="44" customFormat="false" ht="29.85" hidden="false" customHeight="false" outlineLevel="0" collapsed="false">
      <c r="A44" s="3" t="n">
        <f aca="false">MONTH(L44)</f>
        <v>7</v>
      </c>
      <c r="B44" s="3" t="s">
        <v>18</v>
      </c>
      <c r="C44" s="3" t="s">
        <v>19</v>
      </c>
      <c r="D44" s="2" t="s">
        <v>305</v>
      </c>
      <c r="E44" s="3" t="s">
        <v>306</v>
      </c>
      <c r="F44" s="3"/>
      <c r="G44" s="3" t="s">
        <v>307</v>
      </c>
      <c r="H44" s="3" t="s">
        <v>308</v>
      </c>
      <c r="I44" s="3" t="s">
        <v>309</v>
      </c>
      <c r="J44" s="3" t="s">
        <v>25</v>
      </c>
      <c r="K44" s="4" t="n">
        <f aca="false">MAX(DATE(2026,10,17),L44-30)</f>
        <v>46554</v>
      </c>
      <c r="L44" s="4" t="n">
        <v>46584</v>
      </c>
      <c r="M44" s="4" t="n">
        <v>46593</v>
      </c>
      <c r="N44" s="3" t="s">
        <v>310</v>
      </c>
      <c r="O44" s="2" t="s">
        <v>311</v>
      </c>
      <c r="P44" s="3" t="s">
        <v>61</v>
      </c>
      <c r="Q44" s="3" t="n">
        <f aca="false">LEN(H44)</f>
        <v>82</v>
      </c>
      <c r="R44" s="3" t="s">
        <v>219</v>
      </c>
    </row>
    <row r="45" customFormat="false" ht="29.85" hidden="false" customHeight="false" outlineLevel="0" collapsed="false">
      <c r="A45" s="3" t="n">
        <f aca="false">MONTH(L45)</f>
        <v>8</v>
      </c>
      <c r="B45" s="3" t="s">
        <v>18</v>
      </c>
      <c r="C45" s="3" t="s">
        <v>19</v>
      </c>
      <c r="D45" s="2" t="s">
        <v>20</v>
      </c>
      <c r="E45" s="3" t="s">
        <v>312</v>
      </c>
      <c r="F45" s="3"/>
      <c r="G45" s="3" t="s">
        <v>313</v>
      </c>
      <c r="H45" s="3" t="s">
        <v>314</v>
      </c>
      <c r="I45" s="3" t="s">
        <v>315</v>
      </c>
      <c r="J45" s="3" t="s">
        <v>25</v>
      </c>
      <c r="K45" s="4" t="n">
        <f aca="false">MAX(DATE(2026,10,17),L45-30)</f>
        <v>46571</v>
      </c>
      <c r="L45" s="4" t="n">
        <v>46601</v>
      </c>
      <c r="M45" s="4" t="n">
        <v>46606</v>
      </c>
      <c r="N45" s="3" t="s">
        <v>316</v>
      </c>
      <c r="O45" s="2" t="s">
        <v>317</v>
      </c>
      <c r="P45" s="3" t="s">
        <v>37</v>
      </c>
      <c r="Q45" s="3" t="n">
        <f aca="false">LEN(H45)</f>
        <v>59</v>
      </c>
      <c r="R45" s="3"/>
    </row>
    <row r="46" customFormat="false" ht="29.85" hidden="false" customHeight="false" outlineLevel="0" collapsed="false">
      <c r="A46" s="3" t="n">
        <f aca="false">MONTH(L46)</f>
        <v>8</v>
      </c>
      <c r="B46" s="3" t="s">
        <v>18</v>
      </c>
      <c r="C46" s="3" t="s">
        <v>19</v>
      </c>
      <c r="D46" s="2" t="s">
        <v>38</v>
      </c>
      <c r="E46" s="3" t="s">
        <v>94</v>
      </c>
      <c r="F46" s="3"/>
      <c r="G46" s="3" t="s">
        <v>318</v>
      </c>
      <c r="H46" s="3" t="s">
        <v>319</v>
      </c>
      <c r="I46" s="3" t="s">
        <v>320</v>
      </c>
      <c r="J46" s="3" t="s">
        <v>50</v>
      </c>
      <c r="K46" s="4" t="n">
        <f aca="false">MAX(DATE(2026,10,17),L46-30)</f>
        <v>46575</v>
      </c>
      <c r="L46" s="4" t="n">
        <v>46605</v>
      </c>
      <c r="M46" s="4" t="n">
        <v>46629</v>
      </c>
      <c r="N46" s="3" t="s">
        <v>321</v>
      </c>
      <c r="O46" s="2" t="s">
        <v>322</v>
      </c>
      <c r="P46" s="3" t="s">
        <v>61</v>
      </c>
      <c r="Q46" s="3" t="n">
        <f aca="false">LEN(H46)</f>
        <v>75</v>
      </c>
      <c r="R46" s="3" t="s">
        <v>86</v>
      </c>
    </row>
    <row r="47" customFormat="false" ht="29.85" hidden="false" customHeight="false" outlineLevel="0" collapsed="false">
      <c r="A47" s="3" t="n">
        <f aca="false">MONTH(L47)</f>
        <v>8</v>
      </c>
      <c r="B47" s="3" t="s">
        <v>18</v>
      </c>
      <c r="C47" s="3" t="s">
        <v>19</v>
      </c>
      <c r="D47" s="2" t="s">
        <v>173</v>
      </c>
      <c r="E47" s="3" t="s">
        <v>323</v>
      </c>
      <c r="F47" s="3"/>
      <c r="G47" s="3" t="s">
        <v>324</v>
      </c>
      <c r="H47" s="3" t="s">
        <v>325</v>
      </c>
      <c r="I47" s="3" t="s">
        <v>326</v>
      </c>
      <c r="J47" s="3" t="s">
        <v>25</v>
      </c>
      <c r="K47" s="4" t="n">
        <f aca="false">MAX(DATE(2026,10,17),L47-30)</f>
        <v>46594</v>
      </c>
      <c r="L47" s="4" t="n">
        <v>46624</v>
      </c>
      <c r="M47" s="4" t="n">
        <v>46624</v>
      </c>
      <c r="N47" s="3" t="s">
        <v>327</v>
      </c>
      <c r="O47" s="2" t="s">
        <v>328</v>
      </c>
      <c r="P47" s="3" t="s">
        <v>78</v>
      </c>
      <c r="Q47" s="3" t="n">
        <f aca="false">LEN(H47)</f>
        <v>76</v>
      </c>
      <c r="R47" s="2" t="s">
        <v>329</v>
      </c>
    </row>
    <row r="48" customFormat="false" ht="29.85" hidden="false" customHeight="false" outlineLevel="0" collapsed="false">
      <c r="A48" s="3" t="n">
        <f aca="false">MONTH(L48)</f>
        <v>8</v>
      </c>
      <c r="B48" s="3" t="s">
        <v>18</v>
      </c>
      <c r="C48" s="3" t="s">
        <v>19</v>
      </c>
      <c r="D48" s="2" t="s">
        <v>121</v>
      </c>
      <c r="E48" s="3" t="s">
        <v>122</v>
      </c>
      <c r="F48" s="3"/>
      <c r="G48" s="3" t="s">
        <v>330</v>
      </c>
      <c r="H48" s="3" t="s">
        <v>331</v>
      </c>
      <c r="I48" s="3" t="s">
        <v>332</v>
      </c>
      <c r="J48" s="3" t="s">
        <v>25</v>
      </c>
      <c r="K48" s="4" t="n">
        <f aca="false">MAX(DATE(2026,10,17),L48-30)</f>
        <v>46594</v>
      </c>
      <c r="L48" s="4" t="n">
        <v>46624</v>
      </c>
      <c r="M48" s="4" t="n">
        <v>46634</v>
      </c>
      <c r="N48" s="3" t="s">
        <v>333</v>
      </c>
      <c r="O48" s="2" t="s">
        <v>334</v>
      </c>
      <c r="P48" s="3" t="s">
        <v>61</v>
      </c>
      <c r="Q48" s="3" t="n">
        <f aca="false">LEN(H48)</f>
        <v>60</v>
      </c>
      <c r="R48" s="3" t="s">
        <v>219</v>
      </c>
    </row>
    <row r="49" customFormat="false" ht="29.85" hidden="false" customHeight="false" outlineLevel="0" collapsed="false">
      <c r="A49" s="3" t="n">
        <f aca="false">MONTH(L49)</f>
        <v>8</v>
      </c>
      <c r="B49" s="3" t="s">
        <v>18</v>
      </c>
      <c r="C49" s="3" t="s">
        <v>19</v>
      </c>
      <c r="D49" s="2" t="s">
        <v>38</v>
      </c>
      <c r="E49" s="3" t="s">
        <v>255</v>
      </c>
      <c r="F49" s="3"/>
      <c r="G49" s="3" t="s">
        <v>335</v>
      </c>
      <c r="H49" s="3" t="s">
        <v>336</v>
      </c>
      <c r="I49" s="3" t="s">
        <v>337</v>
      </c>
      <c r="J49" s="3" t="s">
        <v>25</v>
      </c>
      <c r="K49" s="4" t="n">
        <f aca="false">MAX(DATE(2026,10,17),L49-30)</f>
        <v>46598</v>
      </c>
      <c r="L49" s="4" t="n">
        <v>46628</v>
      </c>
      <c r="M49" s="4" t="n">
        <v>46629</v>
      </c>
      <c r="N49" s="3" t="s">
        <v>338</v>
      </c>
      <c r="O49" s="2" t="s">
        <v>339</v>
      </c>
      <c r="P49" s="3" t="s">
        <v>78</v>
      </c>
      <c r="Q49" s="3" t="n">
        <f aca="false">LEN(H49)</f>
        <v>68</v>
      </c>
      <c r="R49" s="2" t="s">
        <v>340</v>
      </c>
    </row>
    <row r="50" customFormat="false" ht="29.85" hidden="false" customHeight="false" outlineLevel="0" collapsed="false">
      <c r="A50" s="3" t="n">
        <f aca="false">MONTH(L50)</f>
        <v>9</v>
      </c>
      <c r="B50" s="3" t="s">
        <v>18</v>
      </c>
      <c r="C50" s="3" t="s">
        <v>19</v>
      </c>
      <c r="D50" s="2" t="s">
        <v>129</v>
      </c>
      <c r="E50" s="3" t="s">
        <v>341</v>
      </c>
      <c r="F50" s="3"/>
      <c r="G50" s="3" t="s">
        <v>342</v>
      </c>
      <c r="H50" s="3" t="s">
        <v>343</v>
      </c>
      <c r="I50" s="3" t="s">
        <v>344</v>
      </c>
      <c r="J50" s="3" t="s">
        <v>25</v>
      </c>
      <c r="K50" s="4" t="n">
        <f aca="false">MAX(DATE(2026,10,17),L50-30)</f>
        <v>46609</v>
      </c>
      <c r="L50" s="4" t="n">
        <v>46639</v>
      </c>
      <c r="M50" s="4" t="n">
        <v>46649</v>
      </c>
      <c r="N50" s="3" t="s">
        <v>345</v>
      </c>
      <c r="O50" s="2" t="s">
        <v>346</v>
      </c>
      <c r="P50" s="3" t="s">
        <v>61</v>
      </c>
      <c r="Q50" s="3" t="n">
        <f aca="false">LEN(H50)</f>
        <v>58</v>
      </c>
      <c r="R50" s="3" t="s">
        <v>219</v>
      </c>
    </row>
    <row r="51" customFormat="false" ht="29.85" hidden="false" customHeight="false" outlineLevel="0" collapsed="false">
      <c r="A51" s="3" t="n">
        <f aca="false">MONTH(L51)</f>
        <v>9</v>
      </c>
      <c r="B51" s="3" t="s">
        <v>18</v>
      </c>
      <c r="C51" s="3" t="s">
        <v>19</v>
      </c>
      <c r="D51" s="2" t="s">
        <v>150</v>
      </c>
      <c r="E51" s="3" t="s">
        <v>347</v>
      </c>
      <c r="F51" s="3"/>
      <c r="G51" s="3" t="s">
        <v>348</v>
      </c>
      <c r="H51" s="3" t="s">
        <v>349</v>
      </c>
      <c r="I51" s="3" t="s">
        <v>350</v>
      </c>
      <c r="J51" s="3" t="s">
        <v>25</v>
      </c>
      <c r="K51" s="4" t="n">
        <f aca="false">MAX(DATE(2026,10,17),L51-30)</f>
        <v>46615</v>
      </c>
      <c r="L51" s="4" t="n">
        <v>46645</v>
      </c>
      <c r="M51" s="4" t="n">
        <v>46645</v>
      </c>
      <c r="N51" s="3" t="s">
        <v>155</v>
      </c>
      <c r="O51" s="2" t="s">
        <v>156</v>
      </c>
      <c r="P51" s="3" t="s">
        <v>61</v>
      </c>
      <c r="Q51" s="3" t="n">
        <f aca="false">LEN(H51)</f>
        <v>77</v>
      </c>
      <c r="R51" s="3" t="s">
        <v>351</v>
      </c>
    </row>
    <row r="52" customFormat="false" ht="29.85" hidden="false" customHeight="false" outlineLevel="0" collapsed="false">
      <c r="A52" s="3" t="n">
        <f aca="false">MONTH(L52)</f>
        <v>9</v>
      </c>
      <c r="B52" s="3" t="s">
        <v>18</v>
      </c>
      <c r="C52" s="3" t="s">
        <v>19</v>
      </c>
      <c r="D52" s="2" t="s">
        <v>54</v>
      </c>
      <c r="E52" s="3" t="s">
        <v>352</v>
      </c>
      <c r="F52" s="3"/>
      <c r="G52" s="3" t="s">
        <v>353</v>
      </c>
      <c r="H52" s="3" t="s">
        <v>354</v>
      </c>
      <c r="I52" s="3" t="s">
        <v>355</v>
      </c>
      <c r="J52" s="3" t="s">
        <v>50</v>
      </c>
      <c r="K52" s="4" t="n">
        <f aca="false">MAX(DATE(2026,10,17),L52-30)</f>
        <v>46618</v>
      </c>
      <c r="L52" s="4" t="n">
        <v>46648</v>
      </c>
      <c r="M52" s="4" t="n">
        <v>46663</v>
      </c>
      <c r="N52" s="3" t="s">
        <v>356</v>
      </c>
      <c r="O52" s="2" t="s">
        <v>357</v>
      </c>
      <c r="P52" s="3" t="s">
        <v>78</v>
      </c>
      <c r="Q52" s="3" t="n">
        <f aca="false">LEN(H52)</f>
        <v>68</v>
      </c>
      <c r="R52" s="2" t="s">
        <v>358</v>
      </c>
    </row>
    <row r="53" customFormat="false" ht="29.85" hidden="false" customHeight="false" outlineLevel="0" collapsed="false">
      <c r="A53" s="3" t="n">
        <f aca="false">MONTH(L53)</f>
        <v>9</v>
      </c>
      <c r="B53" s="3" t="s">
        <v>18</v>
      </c>
      <c r="C53" s="3" t="s">
        <v>19</v>
      </c>
      <c r="D53" s="2" t="s">
        <v>173</v>
      </c>
      <c r="E53" s="3" t="s">
        <v>359</v>
      </c>
      <c r="F53" s="3"/>
      <c r="G53" s="3" t="s">
        <v>360</v>
      </c>
      <c r="H53" s="3" t="s">
        <v>361</v>
      </c>
      <c r="I53" s="3" t="s">
        <v>362</v>
      </c>
      <c r="J53" s="3" t="s">
        <v>25</v>
      </c>
      <c r="K53" s="4" t="n">
        <f aca="false">MAX(DATE(2026,10,17),L53-30)</f>
        <v>46623</v>
      </c>
      <c r="L53" s="4" t="n">
        <v>46653</v>
      </c>
      <c r="M53" s="4" t="n">
        <v>46656</v>
      </c>
      <c r="N53" s="3" t="s">
        <v>363</v>
      </c>
      <c r="O53" s="2" t="s">
        <v>364</v>
      </c>
      <c r="P53" s="3" t="s">
        <v>61</v>
      </c>
      <c r="Q53" s="3" t="n">
        <f aca="false">LEN(H53)</f>
        <v>60</v>
      </c>
      <c r="R53" s="3" t="s">
        <v>219</v>
      </c>
    </row>
  </sheetData>
  <autoFilter ref="A1:R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3" t="s">
        <v>365</v>
      </c>
    </row>
    <row r="2" customFormat="false" ht="15" hidden="false" customHeight="false" outlineLevel="0" collapsed="false">
      <c r="A2" s="3" t="s">
        <v>366</v>
      </c>
    </row>
    <row r="3" customFormat="false" ht="15" hidden="false" customHeight="false" outlineLevel="0" collapsed="false">
      <c r="A3" s="3" t="s">
        <v>367</v>
      </c>
    </row>
    <row r="4" customFormat="false" ht="15" hidden="false" customHeight="false" outlineLevel="0" collapsed="false">
      <c r="A4" s="3" t="s">
        <v>368</v>
      </c>
    </row>
    <row r="5" customFormat="false" ht="15" hidden="false" customHeight="false" outlineLevel="0" collapsed="false">
      <c r="A5" s="3" t="s">
        <v>369</v>
      </c>
    </row>
    <row r="6" customFormat="false" ht="15" hidden="false" customHeight="false" outlineLevel="0" collapsed="false">
      <c r="A6" s="3" t="s">
        <v>370</v>
      </c>
    </row>
    <row r="7" customFormat="false" ht="15" hidden="false" customHeight="false" outlineLevel="0" collapsed="false">
      <c r="A7" s="2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2026-10-17T14:29:35Z</dcterms:created>
  <dc:creator>openpyxl</dc:creator>
  <dc:description/>
  <dc:language>en-US</dc:language>
  <cp:lastModifiedBy/>
  <dcterms:modified xsi:type="dcterms:W3CDTF">2026-10-17T14:29:35Z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